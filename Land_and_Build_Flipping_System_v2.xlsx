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Dashboard" sheetId="1" state="visible" r:id="rId1"/>
    <sheet xmlns:r="http://schemas.openxmlformats.org/officeDocument/2006/relationships" name="01_Inputs" sheetId="2" state="visible" r:id="rId2"/>
    <sheet xmlns:r="http://schemas.openxmlformats.org/officeDocument/2006/relationships" name="02_Scenarios_Sale" sheetId="3" state="visible" r:id="rId3"/>
    <sheet xmlns:r="http://schemas.openxmlformats.org/officeDocument/2006/relationships" name="03_Rental_Backstop" sheetId="4" state="visible" r:id="rId4"/>
    <sheet xmlns:r="http://schemas.openxmlformats.org/officeDocument/2006/relationships" name="04_Exit_Ladder" sheetId="5" state="visible" r:id="rId5"/>
    <sheet xmlns:r="http://schemas.openxmlformats.org/officeDocument/2006/relationships" name="05_Team_Contacts" sheetId="6" state="visible" r:id="rId6"/>
    <sheet xmlns:r="http://schemas.openxmlformats.org/officeDocument/2006/relationships" name="06_DD_Checklist" sheetId="7" state="visible" r:id="rId7"/>
    <sheet xmlns:r="http://schemas.openxmlformats.org/officeDocument/2006/relationships" name="07_Buy_Box" sheetId="8" state="visible" r:id="rId8"/>
    <sheet xmlns:r="http://schemas.openxmlformats.org/officeDocument/2006/relationships" name="08_Campaigns" sheetId="9" state="visible" r:id="rId9"/>
    <sheet xmlns:r="http://schemas.openxmlformats.org/officeDocument/2006/relationships" name="09_Leads_CRM" sheetId="10" state="visible" r:id="rId10"/>
    <sheet xmlns:r="http://schemas.openxmlformats.org/officeDocument/2006/relationships" name="10_Offer_Calc" sheetId="11" state="visible" r:id="rId11"/>
    <sheet xmlns:r="http://schemas.openxmlformats.org/officeDocument/2006/relationships" name="11_US_State_GIS_Directory" sheetId="12" state="visible" r:id="rId12"/>
    <sheet xmlns:r="http://schemas.openxmlformats.org/officeDocument/2006/relationships" name="12_County_Links" sheetId="13" state="visible" r:id="rId13"/>
    <sheet xmlns:r="http://schemas.openxmlformats.org/officeDocument/2006/relationships" name="13_Secret_Tools" sheetId="14" state="visible" r:id="rId14"/>
    <sheet xmlns:r="http://schemas.openxmlformats.org/officeDocument/2006/relationships" name="14_Development_Timeline" sheetId="15" state="visible" r:id="rId15"/>
    <sheet xmlns:r="http://schemas.openxmlformats.org/officeDocument/2006/relationships" name="Integration_Hub" sheetId="16" state="visible" r:id="rId16"/>
  </sheets>
  <definedNames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$0.00"/>
  </numFmts>
  <fonts count="1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b val="1"/>
      <color rgb="00FFFFFF"/>
      <sz val="12"/>
    </font>
    <font>
      <color rgb="000563C1"/>
      <u val="single"/>
    </font>
    <font>
      <b val="1"/>
    </font>
    <font>
      <b val="1"/>
      <color rgb="001F4E79"/>
      <sz val="18"/>
    </font>
    <font>
      <b val="1"/>
      <sz val="12"/>
    </font>
    <font>
      <name val="Calibri"/>
      <b val="1"/>
      <color rgb="00000000"/>
      <sz val="14"/>
    </font>
    <font>
      <b val="1"/>
      <color rgb="00001F3F"/>
      <sz val="16"/>
    </font>
    <font>
      <color rgb="002E2E2E"/>
      <sz val="11"/>
    </font>
    <font>
      <b val="1"/>
      <color rgb="00F8F7F4"/>
    </font>
    <font>
      <b val="1"/>
      <sz val="16"/>
    </font>
    <font>
      <b val="1"/>
      <sz val="14"/>
      <u val="single"/>
    </font>
  </fonts>
  <fills count="10">
    <fill>
      <patternFill/>
    </fill>
    <fill>
      <patternFill patternType="gray125"/>
    </fill>
    <fill>
      <patternFill patternType="solid">
        <fgColor rgb="000B2F4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001F3F"/>
      </patternFill>
    </fill>
    <fill>
      <patternFill patternType="solid">
        <fgColor rgb="00E6E6FA"/>
        <bgColor rgb="00E6E6FA"/>
      </patternFill>
    </fill>
  </fills>
  <borders count="1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B0B0B0"/>
      </left>
      <right/>
      <top/>
      <bottom/>
      <diagonal/>
    </border>
    <border>
      <left/>
      <right style="thin">
        <color rgb="00B0B0B0"/>
      </right>
      <top/>
      <bottom/>
      <diagonal/>
    </border>
    <border>
      <left style="thin">
        <color rgb="00B0B0B0"/>
      </left>
      <right/>
      <top/>
      <bottom style="thin">
        <color rgb="00B0B0B0"/>
      </bottom>
      <diagonal/>
    </border>
    <border>
      <left/>
      <right/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right" vertical="center" wrapText="1"/>
    </xf>
    <xf numFmtId="165" fontId="12" fillId="0" borderId="1" applyAlignment="1" pivotButton="0" quotePrefix="0" xfId="0">
      <alignment horizontal="right" vertical="center" wrapText="1"/>
    </xf>
    <xf numFmtId="49" fontId="11" fillId="0" borderId="1" applyAlignment="1" pivotButton="0" quotePrefix="0" xfId="0">
      <alignment horizontal="right" vertical="center" wrapText="1"/>
    </xf>
    <xf numFmtId="0" fontId="0" fillId="6" borderId="1" applyAlignment="1" pivotButton="0" quotePrefix="0" xfId="0">
      <alignment horizontal="center" vertical="center" wrapText="1"/>
    </xf>
    <xf numFmtId="0" fontId="1" fillId="0" borderId="0" pivotButton="0" quotePrefix="0" xfId="0"/>
    <xf numFmtId="164" fontId="5" fillId="3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165" fontId="5" fillId="3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3" fillId="2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pivotButton="0" quotePrefix="0" xfId="0"/>
    <xf numFmtId="49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9" fillId="6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right" vertical="center" wrapText="1"/>
    </xf>
    <xf numFmtId="0" fontId="7" fillId="5" borderId="1" pivotButton="0" quotePrefix="0" xfId="0"/>
    <xf numFmtId="0" fontId="7" fillId="5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9" fontId="0" fillId="0" borderId="1" applyAlignment="1" pivotButton="0" quotePrefix="0" xfId="0">
      <alignment horizontal="right" vertical="center" wrapText="1"/>
    </xf>
    <xf numFmtId="0" fontId="9" fillId="0" borderId="1" pivotButton="0" quotePrefix="0" xfId="0"/>
    <xf numFmtId="165" fontId="9" fillId="6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right" vertical="center" wrapText="1"/>
    </xf>
    <xf numFmtId="167" fontId="5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 wrapText="1"/>
    </xf>
    <xf numFmtId="166" fontId="5" fillId="3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164" fontId="5" fillId="3" borderId="0" applyAlignment="1" pivotButton="0" quotePrefix="0" xfId="0">
      <alignment horizontal="right" vertical="center" wrapText="1"/>
    </xf>
    <xf numFmtId="165" fontId="5" fillId="3" borderId="0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8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top" wrapText="1"/>
    </xf>
    <xf numFmtId="0" fontId="16" fillId="0" borderId="0" applyAlignment="1" pivotButton="0" quotePrefix="0" xfId="0">
      <alignment horizontal="center"/>
    </xf>
    <xf numFmtId="0" fontId="17" fillId="0" borderId="0" pivotButton="0" quotePrefix="0" xfId="0"/>
    <xf numFmtId="0" fontId="9" fillId="9" borderId="0" pivotButton="0" quotePrefix="0" xfId="0"/>
    <xf numFmtId="0" fontId="1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ROI vs Sale Price (Scenario Band)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lineChart>
        <grouping val="standard"/>
        <varyColors val="0"/>
        <ser>
          <idx val="0"/>
          <order val="0"/>
          <tx>
            <strRef>
              <f>'02_Scenarios_Sale'!F6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'02_Scenarios_Sale'!$B$7:$B$11</f>
              <strCache>
                <ptCount val="0"/>
              </strCache>
            </strRef>
          </cat>
          <val>
            <numRef>
              <f>'02_Scenarios_Sale'!$F$7:$F$11</f>
              <numCache>
                <formatCode>0%</formatCode>
                <ptCount val="0"/>
              </numCache>
            </numRef>
          </val>
          <smooth val="0"/>
        </ser>
        <axId val="48650112"/>
        <axId val="48672768"/>
      </line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0%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B24" authorId="0" shapeId="0">
      <text>
        <t>Vacancy is an assumption; cross-check with local rent comps and HUD FMR/SAFMR as a sanity check. HUD FMR: https://www.huduser.gov/portal/datasets/fmr.html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13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" customWidth="1" min="3" max="3"/>
    <col width="2" customWidth="1" min="4" max="4"/>
  </cols>
  <sheetData>
    <row r="1">
      <c r="A1" s="1" t="inlineStr">
        <is>
          <t>Deal Dashboard</t>
        </is>
      </c>
    </row>
    <row r="2">
      <c r="A2" s="2" t="inlineStr">
        <is>
          <t>Last updated: 2026-01-06 (edit 01_Inputs)</t>
        </is>
      </c>
    </row>
    <row r="4">
      <c r="A4" s="3" t="inlineStr">
        <is>
          <t>Key KPIs</t>
        </is>
      </c>
    </row>
    <row r="6">
      <c r="A6" s="4" t="inlineStr">
        <is>
          <t>All-in total cost</t>
        </is>
      </c>
      <c r="B6" s="5">
        <f>01_Inputs!B8</f>
        <v/>
      </c>
    </row>
    <row r="7">
      <c r="A7" s="4" t="inlineStr">
        <is>
          <t>Worst-case sale price</t>
        </is>
      </c>
      <c r="B7" s="5">
        <f>01_Inputs!B14</f>
        <v/>
      </c>
    </row>
    <row r="8">
      <c r="A8" s="4" t="inlineStr">
        <is>
          <t>Worst-case ROI</t>
        </is>
      </c>
      <c r="B8" s="6">
        <f>02_Scenarios_Sale!F7</f>
        <v/>
      </c>
    </row>
    <row r="9">
      <c r="A9" s="4" t="inlineStr">
        <is>
          <t>Base-case sale price</t>
        </is>
      </c>
      <c r="B9" s="5">
        <f>01_Inputs!B15</f>
        <v/>
      </c>
    </row>
    <row r="10">
      <c r="A10" s="4" t="inlineStr">
        <is>
          <t>Base-case ROI</t>
        </is>
      </c>
      <c r="B10" s="6">
        <f>02_Scenarios_Sale!F8</f>
        <v/>
      </c>
    </row>
    <row r="11">
      <c r="A11" s="4" t="inlineStr">
        <is>
          <t>Rental backstop net CF</t>
        </is>
      </c>
      <c r="B11" s="5">
        <f>03_Rental_Backstop!B13</f>
        <v/>
      </c>
    </row>
    <row r="12">
      <c r="A12" s="4" t="inlineStr">
        <is>
          <t>Recommended action</t>
        </is>
      </c>
      <c r="B12" s="7">
        <f>04_Exit_Ladder!B9</f>
        <v/>
      </c>
    </row>
    <row r="14">
      <c r="A14" s="3" t="inlineStr">
        <is>
          <t>Hurdle Checks</t>
        </is>
      </c>
    </row>
    <row r="16">
      <c r="A16" s="4" t="inlineStr">
        <is>
          <t>Worst-case ROI vs Min</t>
        </is>
      </c>
      <c r="B16" s="8">
        <f>IF(02_Scenarios_Sale!F7&gt;=01_Inputs!B9,"PASS","FAIL")</f>
        <v/>
      </c>
    </row>
    <row r="17">
      <c r="A17" s="4" t="inlineStr">
        <is>
          <t>Base-case ROI vs Target</t>
        </is>
      </c>
      <c r="B17" s="8">
        <f>IF(02_Scenarios_Sale!F8&gt;=01_Inputs!B10,"PASS","FAIL")</f>
        <v/>
      </c>
    </row>
  </sheetData>
  <mergeCells count="2">
    <mergeCell ref="A4:D4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48" customWidth="1" min="2" max="2"/>
    <col width="3" customWidth="1" min="3" max="3"/>
    <col width="3" customWidth="1" min="4" max="4"/>
  </cols>
  <sheetData>
    <row r="1">
      <c r="A1" s="9" t="inlineStr">
        <is>
          <t>Deal Underwriting Inputs (Build-to-Sell + Rental Backstop)</t>
        </is>
      </c>
    </row>
    <row r="2">
      <c r="A2" s="2" t="inlineStr">
        <is>
          <t>Update the yellow cells (blue text). All other cells are calculated.</t>
        </is>
      </c>
    </row>
    <row r="4">
      <c r="A4" s="3" t="inlineStr">
        <is>
          <t>Core Deal Inputs</t>
        </is>
      </c>
    </row>
    <row r="6" ht="18" customHeight="1">
      <c r="A6" s="4" t="inlineStr">
        <is>
          <t>Land + Construction Total Cost ($)</t>
        </is>
      </c>
      <c r="B6" s="10" t="n">
        <v>700000</v>
      </c>
    </row>
    <row r="7" ht="18" customHeight="1">
      <c r="A7" s="4" t="inlineStr">
        <is>
          <t>Other Project Costs (closing, marketing, carry) ($)</t>
        </is>
      </c>
      <c r="B7" s="10" t="n">
        <v>0</v>
      </c>
    </row>
    <row r="8" ht="18" customHeight="1">
      <c r="A8" s="4" t="inlineStr">
        <is>
          <t>All-in Total Cost ($)</t>
        </is>
      </c>
      <c r="B8" s="11">
        <f>B6+B7</f>
        <v/>
      </c>
    </row>
    <row r="9" ht="18" customHeight="1">
      <c r="A9" s="4" t="inlineStr">
        <is>
          <t>Minimum ROI (Downside Floor)</t>
        </is>
      </c>
      <c r="B9" s="12" t="n">
        <v>0.2</v>
      </c>
    </row>
    <row r="10" ht="18" customHeight="1">
      <c r="A10" s="4" t="inlineStr">
        <is>
          <t>Target ROI (Base Case)</t>
        </is>
      </c>
      <c r="B10" s="12" t="n">
        <v>0.25</v>
      </c>
    </row>
    <row r="11" ht="18" customHeight="1">
      <c r="A11" s="13" t="n"/>
      <c r="B11" s="13" t="n"/>
    </row>
    <row r="12" ht="18" customHeight="1">
      <c r="A12" s="14" t="inlineStr">
        <is>
          <t>Sale Price Scenarios</t>
        </is>
      </c>
      <c r="B12" s="34" t="n"/>
      <c r="C12" s="34" t="n"/>
      <c r="D12" s="35" t="n"/>
    </row>
    <row r="13" ht="18" customHeight="1">
      <c r="A13" s="13" t="n"/>
      <c r="B13" s="13" t="n"/>
    </row>
    <row r="14" ht="18" customHeight="1">
      <c r="A14" s="4" t="inlineStr">
        <is>
          <t>Worst realistic sale price ($)</t>
        </is>
      </c>
      <c r="B14" s="10" t="n">
        <v>900000</v>
      </c>
    </row>
    <row r="15" ht="18" customHeight="1">
      <c r="A15" s="4" t="inlineStr">
        <is>
          <t>Base / likely (low) ($)</t>
        </is>
      </c>
      <c r="B15" s="10" t="n">
        <v>1000000</v>
      </c>
    </row>
    <row r="16" ht="18" customHeight="1">
      <c r="A16" s="4" t="inlineStr">
        <is>
          <t>Base / likely (high) ($)</t>
        </is>
      </c>
      <c r="B16" s="10" t="n">
        <v>1050000</v>
      </c>
    </row>
    <row r="17" ht="18" customHeight="1">
      <c r="A17" s="4" t="inlineStr">
        <is>
          <t>Best realistic (low) ($)</t>
        </is>
      </c>
      <c r="B17" s="10" t="n">
        <v>1100000</v>
      </c>
    </row>
    <row r="18" ht="18" customHeight="1">
      <c r="A18" s="4" t="inlineStr">
        <is>
          <t>Best realistic (high) ($)</t>
        </is>
      </c>
      <c r="B18" s="10" t="n">
        <v>1200000</v>
      </c>
    </row>
    <row r="19" ht="18" customHeight="1">
      <c r="A19" s="13" t="n"/>
      <c r="B19" s="13" t="n"/>
    </row>
    <row r="20" ht="18" customHeight="1">
      <c r="A20" s="14" t="inlineStr">
        <is>
          <t>Plan B: Rental Backstop (Hold if market freezes)</t>
        </is>
      </c>
      <c r="B20" s="34" t="n"/>
      <c r="C20" s="34" t="n"/>
      <c r="D20" s="35" t="n"/>
    </row>
    <row r="21" ht="18" customHeight="1">
      <c r="A21" s="13" t="n"/>
      <c r="B21" s="13" t="n"/>
    </row>
    <row r="22" ht="18" customHeight="1">
      <c r="A22" s="4" t="inlineStr">
        <is>
          <t>Monthly interest / debt service ($)</t>
        </is>
      </c>
      <c r="B22" s="10" t="n">
        <v>2000</v>
      </c>
    </row>
    <row r="23" ht="18" customHeight="1">
      <c r="A23" s="4" t="inlineStr">
        <is>
          <t>Market rent ($/mo)</t>
        </is>
      </c>
      <c r="B23" s="10" t="n">
        <v>2400</v>
      </c>
    </row>
    <row r="24" ht="18" customHeight="1">
      <c r="A24" s="4" t="inlineStr">
        <is>
          <t>Vacancy allowance (%)</t>
        </is>
      </c>
      <c r="B24" s="12" t="n">
        <v>0.05</v>
      </c>
    </row>
    <row r="25" ht="18" customHeight="1">
      <c r="A25" s="4" t="inlineStr">
        <is>
          <t>Maintenance &amp; reserves (%)</t>
        </is>
      </c>
      <c r="B25" s="12" t="n">
        <v>0.05</v>
      </c>
    </row>
    <row r="26" ht="18" customHeight="1">
      <c r="A26" s="13" t="n"/>
      <c r="B26" s="13" t="n"/>
    </row>
    <row r="27" ht="18" customHeight="1">
      <c r="A27" s="14" t="inlineStr">
        <is>
          <t>Primary Data Sources (Official)</t>
        </is>
      </c>
      <c r="B27" s="34" t="n"/>
      <c r="C27" s="34" t="n"/>
      <c r="D27" s="35" t="n"/>
    </row>
    <row r="28" ht="18" customHeight="1">
      <c r="A28" s="15" t="inlineStr">
        <is>
          <t>Resource</t>
        </is>
      </c>
      <c r="B28" s="15" t="inlineStr">
        <is>
          <t>Link</t>
        </is>
      </c>
    </row>
    <row r="29" ht="18" customHeight="1">
      <c r="A29" s="16" t="inlineStr">
        <is>
          <t>FEMA Flood Maps (MSC)</t>
        </is>
      </c>
      <c r="B29" s="17" t="inlineStr">
        <is>
          <t>https://msc.fema.gov/</t>
        </is>
      </c>
    </row>
    <row r="30" ht="18" customHeight="1">
      <c r="A30" s="16" t="inlineStr">
        <is>
          <t>USDA Web Soil Survey</t>
        </is>
      </c>
      <c r="B30" s="17" t="inlineStr">
        <is>
          <t>https://websoilsurvey.nrcs.usda.gov/</t>
        </is>
      </c>
    </row>
    <row r="31" ht="18" customHeight="1">
      <c r="A31" s="16" t="inlineStr">
        <is>
          <t>USFWS Wetlands Mapper</t>
        </is>
      </c>
      <c r="B31" s="17" t="inlineStr">
        <is>
          <t>https://www.fws.gov/program/national-wetlands-inventory/wetlands-mapper</t>
        </is>
      </c>
    </row>
    <row r="32" ht="18" customHeight="1">
      <c r="A32" s="16" t="inlineStr">
        <is>
          <t>EPA ECHO Facility Search</t>
        </is>
      </c>
      <c r="B32" s="17" t="inlineStr">
        <is>
          <t>https://echo.epa.gov/facilities/facility-search</t>
        </is>
      </c>
    </row>
    <row r="33" ht="18" customHeight="1">
      <c r="A33" s="16" t="inlineStr">
        <is>
          <t>USGS National Map Viewer</t>
        </is>
      </c>
      <c r="B33" s="17" t="inlineStr">
        <is>
          <t>https://www.usgs.gov/tools/national-map-viewer</t>
        </is>
      </c>
    </row>
    <row r="34" ht="18" customHeight="1">
      <c r="A34" s="16" t="inlineStr">
        <is>
          <t>HUD Fair Market Rents</t>
        </is>
      </c>
      <c r="B34" s="17" t="inlineStr">
        <is>
          <t>https://www.huduser.gov/portal/datasets/fmr.html</t>
        </is>
      </c>
    </row>
    <row r="35" ht="18" customHeight="1">
      <c r="A35" s="16" t="inlineStr">
        <is>
          <t>USA.gov Local Government Finder</t>
        </is>
      </c>
      <c r="B35" s="17" t="inlineStr">
        <is>
          <t>https://www.usa.gov/local-governments</t>
        </is>
      </c>
    </row>
    <row r="36" ht="18" customHeight="1">
      <c r="A36" s="16" t="inlineStr">
        <is>
          <t>NCARB Architect Lookup</t>
        </is>
      </c>
      <c r="B36" s="17" t="inlineStr">
        <is>
          <t>https://www.ncarb.org/get-licensed/state-licensing-boards/architect-lookup</t>
        </is>
      </c>
    </row>
    <row r="37" ht="18" customHeight="1">
      <c r="A37" s="16" t="inlineStr">
        <is>
          <t>NCEES Licensing Board Directory</t>
        </is>
      </c>
      <c r="B37" s="17" t="inlineStr">
        <is>
          <t>https://ncees.org/about/member-licensing-board-directory/</t>
        </is>
      </c>
    </row>
    <row r="38" ht="18" customHeight="1">
      <c r="A38" s="16" t="inlineStr">
        <is>
          <t>SBA Lender Match</t>
        </is>
      </c>
      <c r="B38" s="17" t="inlineStr">
        <is>
          <t>https://www.sba.gov/funding-programs/loans/lender-match-connects-you-lenders</t>
        </is>
      </c>
    </row>
    <row r="39" ht="18" customHeight="1">
      <c r="A39" s="16" t="inlineStr">
        <is>
          <t>FDIC BankFind Suite</t>
        </is>
      </c>
      <c r="B39" s="17" t="inlineStr">
        <is>
          <t>https://banks.data.fdic.gov/bankfind-suite/bankfind</t>
        </is>
      </c>
    </row>
    <row r="40">
      <c r="A40" s="13" t="n"/>
      <c r="B40" s="13" t="n"/>
    </row>
  </sheetData>
  <mergeCells count="4">
    <mergeCell ref="A12:D12"/>
    <mergeCell ref="A4:D4"/>
    <mergeCell ref="A27:D27"/>
    <mergeCell ref="A20:D20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2" customWidth="1" min="7" max="7"/>
    <col width="18" customWidth="1" min="8" max="8"/>
    <col width="14" customWidth="1" min="9" max="9"/>
    <col width="2" customWidth="1" min="10" max="10"/>
  </cols>
  <sheetData>
    <row r="1">
      <c r="A1" s="9" t="inlineStr">
        <is>
          <t>Sale Scenario Analysis (Profit, Margin, ROI)</t>
        </is>
      </c>
    </row>
    <row r="2">
      <c r="A2" s="2" t="inlineStr">
        <is>
          <t>All metrics pull from 01_Inputs. Update scenarios there.</t>
        </is>
      </c>
    </row>
    <row r="4">
      <c r="A4" s="3" t="inlineStr">
        <is>
          <t>Scenario Table</t>
        </is>
      </c>
      <c r="H4" s="3" t="inlineStr">
        <is>
          <t>Hurdles</t>
        </is>
      </c>
    </row>
    <row r="6">
      <c r="A6" s="18" t="inlineStr">
        <is>
          <t>Scenario</t>
        </is>
      </c>
      <c r="B6" s="18" t="inlineStr">
        <is>
          <t>Sale Price</t>
        </is>
      </c>
      <c r="C6" s="18" t="inlineStr">
        <is>
          <t>All-in Cost</t>
        </is>
      </c>
      <c r="D6" s="18" t="inlineStr">
        <is>
          <t>Profit</t>
        </is>
      </c>
      <c r="E6" s="18" t="inlineStr">
        <is>
          <t>Profit Margin</t>
        </is>
      </c>
      <c r="F6" s="18" t="inlineStr">
        <is>
          <t>ROI</t>
        </is>
      </c>
      <c r="H6" s="4" t="inlineStr">
        <is>
          <t>Min ROI (worst)</t>
        </is>
      </c>
      <c r="I6" s="19">
        <f>01_Inputs!B9</f>
        <v/>
      </c>
    </row>
    <row r="7">
      <c r="A7" s="16" t="inlineStr">
        <is>
          <t>Worst realistic</t>
        </is>
      </c>
      <c r="B7" s="20">
        <f>01_Inputs!B14</f>
        <v/>
      </c>
      <c r="C7" s="20">
        <f>01_Inputs!B8</f>
        <v/>
      </c>
      <c r="D7" s="20">
        <f>B7-C7</f>
        <v/>
      </c>
      <c r="E7" s="21">
        <f>IF(B7=0,0,D7/B7)</f>
        <v/>
      </c>
      <c r="F7" s="19">
        <f>IF(C7=0,0,D7/C7)</f>
        <v/>
      </c>
      <c r="H7" s="4" t="inlineStr">
        <is>
          <t>Target ROI (base)</t>
        </is>
      </c>
      <c r="I7" s="19">
        <f>01_Inputs!B10</f>
        <v/>
      </c>
    </row>
    <row r="8">
      <c r="A8" s="16" t="inlineStr">
        <is>
          <t>Base / likely (low)</t>
        </is>
      </c>
      <c r="B8" s="20">
        <f>01_Inputs!B15</f>
        <v/>
      </c>
      <c r="C8" s="20">
        <f>01_Inputs!B8</f>
        <v/>
      </c>
      <c r="D8" s="20">
        <f>B8-C8</f>
        <v/>
      </c>
      <c r="E8" s="21">
        <f>IF(B8=0,0,D8/B8)</f>
        <v/>
      </c>
      <c r="F8" s="19">
        <f>IF(C8=0,0,D8/C8)</f>
        <v/>
      </c>
      <c r="H8" s="4" t="inlineStr">
        <is>
          <t>Worst scenario ROI</t>
        </is>
      </c>
      <c r="I8" s="19">
        <f>F7</f>
        <v/>
      </c>
    </row>
    <row r="9">
      <c r="A9" s="16" t="inlineStr">
        <is>
          <t>Base / likely (high)</t>
        </is>
      </c>
      <c r="B9" s="20">
        <f>01_Inputs!B16</f>
        <v/>
      </c>
      <c r="C9" s="20">
        <f>01_Inputs!B8</f>
        <v/>
      </c>
      <c r="D9" s="20">
        <f>B9-C9</f>
        <v/>
      </c>
      <c r="E9" s="21">
        <f>IF(B9=0,0,D9/B9)</f>
        <v/>
      </c>
      <c r="F9" s="19">
        <f>IF(C9=0,0,D9/C9)</f>
        <v/>
      </c>
      <c r="H9" s="4" t="inlineStr">
        <is>
          <t>Base (low) ROI</t>
        </is>
      </c>
      <c r="I9" s="19">
        <f>F8</f>
        <v/>
      </c>
    </row>
    <row r="10">
      <c r="A10" s="16" t="inlineStr">
        <is>
          <t>Best realistic (low)</t>
        </is>
      </c>
      <c r="B10" s="20">
        <f>01_Inputs!B17</f>
        <v/>
      </c>
      <c r="C10" s="20">
        <f>01_Inputs!B8</f>
        <v/>
      </c>
      <c r="D10" s="20">
        <f>B10-C10</f>
        <v/>
      </c>
      <c r="E10" s="21">
        <f>IF(B10=0,0,D10/B10)</f>
        <v/>
      </c>
      <c r="F10" s="19">
        <f>IF(C10=0,0,D10/C10)</f>
        <v/>
      </c>
      <c r="H10" s="4" t="inlineStr">
        <is>
          <t>Pass/Fail (worst)</t>
        </is>
      </c>
      <c r="I10" s="22">
        <f>IF(I8&gt;=I6,"PASS","FAIL")</f>
        <v/>
      </c>
    </row>
    <row r="11">
      <c r="A11" s="16" t="inlineStr">
        <is>
          <t>Best realistic (high)</t>
        </is>
      </c>
      <c r="B11" s="20">
        <f>01_Inputs!B18</f>
        <v/>
      </c>
      <c r="C11" s="20">
        <f>01_Inputs!B8</f>
        <v/>
      </c>
      <c r="D11" s="20">
        <f>B11-C11</f>
        <v/>
      </c>
      <c r="E11" s="21">
        <f>IF(B11=0,0,D11/B11)</f>
        <v/>
      </c>
      <c r="F11" s="19">
        <f>IF(C11=0,0,D11/C11)</f>
        <v/>
      </c>
      <c r="H11" s="4" t="inlineStr">
        <is>
          <t>Pass/Fail (base low)</t>
        </is>
      </c>
      <c r="I11" s="22">
        <f>IF(I9&gt;=I7,"PASS","FAIL")</f>
        <v/>
      </c>
    </row>
  </sheetData>
  <mergeCells count="2">
    <mergeCell ref="A4:F4"/>
    <mergeCell ref="H4:J4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0" customWidth="1" min="3" max="3"/>
    <col width="12" customWidth="1" min="4" max="4"/>
    <col width="30" customWidth="1" min="5" max="5"/>
  </cols>
  <sheetData>
    <row r="1">
      <c r="A1" s="9" t="inlineStr">
        <is>
          <t>Plan B Rental Backstop (Carry the Asset if Market Freezes)</t>
        </is>
      </c>
    </row>
    <row r="2">
      <c r="A2" s="2" t="inlineStr">
        <is>
          <t>Uses vacancy + reserves. Adjust assumptions in 01_Inputs.</t>
        </is>
      </c>
    </row>
    <row r="4">
      <c r="A4" s="3" t="inlineStr">
        <is>
          <t>Monthly Cash Flow Model</t>
        </is>
      </c>
    </row>
    <row r="6">
      <c r="A6" s="18" t="inlineStr">
        <is>
          <t>Item</t>
        </is>
      </c>
      <c r="B6" s="18" t="inlineStr">
        <is>
          <t>Value</t>
        </is>
      </c>
      <c r="C6" s="18" t="inlineStr">
        <is>
          <t>Units</t>
        </is>
      </c>
      <c r="D6" s="18" t="inlineStr">
        <is>
          <t>Source</t>
        </is>
      </c>
      <c r="E6" s="18" t="inlineStr">
        <is>
          <t>Notes</t>
        </is>
      </c>
    </row>
    <row r="7">
      <c r="A7" s="16" t="inlineStr">
        <is>
          <t>Market rent</t>
        </is>
      </c>
      <c r="B7" s="20">
        <f>01_Inputs!B23</f>
        <v/>
      </c>
      <c r="C7" s="23" t="inlineStr">
        <is>
          <t>$/mo</t>
        </is>
      </c>
      <c r="D7" s="23" t="inlineStr">
        <is>
          <t>Input</t>
        </is>
      </c>
      <c r="E7" s="16" t="inlineStr"/>
    </row>
    <row r="8">
      <c r="A8" s="16" t="inlineStr">
        <is>
          <t>Vacancy allowance</t>
        </is>
      </c>
      <c r="B8" s="19">
        <f>01_Inputs!B24</f>
        <v/>
      </c>
      <c r="C8" s="23" t="inlineStr">
        <is>
          <t>%</t>
        </is>
      </c>
      <c r="D8" s="23" t="inlineStr">
        <is>
          <t>Input</t>
        </is>
      </c>
      <c r="E8" s="16" t="inlineStr"/>
    </row>
    <row r="9">
      <c r="A9" s="16" t="inlineStr">
        <is>
          <t>Effective rent after vacancy</t>
        </is>
      </c>
      <c r="B9" s="20">
        <f>B7*(1-B8)</f>
        <v/>
      </c>
      <c r="C9" s="23" t="inlineStr">
        <is>
          <t>$/mo</t>
        </is>
      </c>
      <c r="D9" s="23" t="inlineStr">
        <is>
          <t>Calc</t>
        </is>
      </c>
      <c r="E9" s="16" t="inlineStr"/>
    </row>
    <row r="10">
      <c r="A10" s="16" t="inlineStr">
        <is>
          <t>Reserves (maintenance/capex)</t>
        </is>
      </c>
      <c r="B10" s="19">
        <f>01_Inputs!B25</f>
        <v/>
      </c>
      <c r="C10" s="23" t="inlineStr">
        <is>
          <t>%</t>
        </is>
      </c>
      <c r="D10" s="23" t="inlineStr">
        <is>
          <t>Input</t>
        </is>
      </c>
      <c r="E10" s="16" t="inlineStr"/>
    </row>
    <row r="11">
      <c r="A11" s="16" t="inlineStr">
        <is>
          <t>Reserve amount</t>
        </is>
      </c>
      <c r="B11" s="20">
        <f>B9*B10</f>
        <v/>
      </c>
      <c r="C11" s="23" t="inlineStr">
        <is>
          <t>$/mo</t>
        </is>
      </c>
      <c r="D11" s="23" t="inlineStr">
        <is>
          <t>Calc</t>
        </is>
      </c>
      <c r="E11" s="16" t="inlineStr"/>
    </row>
    <row r="12">
      <c r="A12" s="16" t="inlineStr">
        <is>
          <t>Debt service (interest/payment)</t>
        </is>
      </c>
      <c r="B12" s="20">
        <f>01_Inputs!B22</f>
        <v/>
      </c>
      <c r="C12" s="23" t="inlineStr">
        <is>
          <t>$/mo</t>
        </is>
      </c>
      <c r="D12" s="23" t="inlineStr">
        <is>
          <t>Input</t>
        </is>
      </c>
      <c r="E12" s="16" t="inlineStr"/>
    </row>
    <row r="13">
      <c r="A13" s="24" t="inlineStr">
        <is>
          <t>Net cash flow (after vacancy + reserves)</t>
        </is>
      </c>
      <c r="B13" s="25">
        <f>B9-B11-B12</f>
        <v/>
      </c>
      <c r="C13" s="23" t="inlineStr">
        <is>
          <t>$/mo</t>
        </is>
      </c>
      <c r="D13" s="23" t="inlineStr">
        <is>
          <t>Calc</t>
        </is>
      </c>
      <c r="E13" s="16" t="inlineStr"/>
    </row>
    <row r="14">
      <c r="A14" s="16" t="inlineStr">
        <is>
          <t>Breakeven rent (covers debt + reserves + vacancy)</t>
        </is>
      </c>
      <c r="B14" s="20">
        <f>IF((1-B8)*(1-B10)=0,0,B12/((1-B8)*(1-B10)))</f>
        <v/>
      </c>
      <c r="C14" s="23" t="inlineStr">
        <is>
          <t>$/mo</t>
        </is>
      </c>
      <c r="D14" s="23" t="inlineStr">
        <is>
          <t>Calc</t>
        </is>
      </c>
      <c r="E14" s="16" t="inlineStr"/>
    </row>
    <row r="15">
      <c r="A15" s="13" t="n"/>
      <c r="B15" s="13" t="n"/>
      <c r="C15" s="13" t="n"/>
      <c r="D15" s="13" t="n"/>
      <c r="E15" s="13" t="n"/>
    </row>
    <row r="16">
      <c r="A16" s="13" t="n"/>
      <c r="B16" s="13" t="n"/>
      <c r="C16" s="13" t="n"/>
      <c r="D16" s="13" t="n"/>
      <c r="E16" s="13" t="n"/>
    </row>
    <row r="17">
      <c r="A17" s="14" t="inlineStr">
        <is>
          <t>Stress Tests</t>
        </is>
      </c>
      <c r="B17" s="34" t="n"/>
      <c r="C17" s="34" t="n"/>
      <c r="D17" s="34" t="n"/>
      <c r="E17" s="35" t="n"/>
    </row>
    <row r="18">
      <c r="A18" s="13" t="n"/>
      <c r="B18" s="13" t="n"/>
      <c r="C18" s="13" t="n"/>
      <c r="D18" s="13" t="n"/>
      <c r="E18" s="13" t="n"/>
    </row>
    <row r="19">
      <c r="A19" s="4" t="inlineStr">
        <is>
          <t>Rent -10%</t>
        </is>
      </c>
      <c r="B19" s="20">
        <f>B7*0.9</f>
        <v/>
      </c>
      <c r="C19" s="13" t="n"/>
      <c r="D19" s="13" t="n"/>
      <c r="E19" s="13" t="n"/>
    </row>
    <row r="20">
      <c r="A20" s="4" t="inlineStr">
        <is>
          <t>Net CF at rent -10%</t>
        </is>
      </c>
      <c r="B20" s="20">
        <f>B19*(1-B8)-B19*(1-B8)*B10-B12</f>
        <v/>
      </c>
      <c r="C20" s="13" t="n"/>
      <c r="D20" s="13" t="n"/>
      <c r="E20" s="13" t="n"/>
    </row>
    <row r="21">
      <c r="A21" s="4" t="inlineStr">
        <is>
          <t>Vacancy 10% (override)</t>
        </is>
      </c>
      <c r="B21" s="12" t="n">
        <v>0.1</v>
      </c>
      <c r="C21" s="13" t="n"/>
      <c r="D21" s="13" t="n"/>
      <c r="E21" s="13" t="n"/>
    </row>
    <row r="22">
      <c r="A22" s="4" t="inlineStr">
        <is>
          <t>Net CF at 10% vacancy</t>
        </is>
      </c>
      <c r="B22" s="20">
        <f>B7*(1-B21)-B7*(1-B21)*B10-B12</f>
        <v/>
      </c>
      <c r="C22" s="13" t="n"/>
      <c r="D22" s="13" t="n"/>
      <c r="E22" s="13" t="n"/>
    </row>
    <row r="23">
      <c r="A23" s="13" t="n"/>
      <c r="B23" s="13" t="n"/>
      <c r="C23" s="13" t="n"/>
      <c r="D23" s="13" t="n"/>
      <c r="E23" s="13" t="n"/>
    </row>
  </sheetData>
  <mergeCells count="2">
    <mergeCell ref="A17:E17"/>
    <mergeCell ref="A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14" customWidth="1" min="4" max="4"/>
  </cols>
  <sheetData>
    <row r="1">
      <c r="A1" s="9" t="inlineStr">
        <is>
          <t>Exit Ladder Decision Support (Plan A / B / C)</t>
        </is>
      </c>
    </row>
    <row r="2">
      <c r="A2" s="2" t="inlineStr">
        <is>
          <t>Set Market Condition. Sheet recommends: Sell Now vs Hold &amp; Rent.</t>
        </is>
      </c>
    </row>
    <row r="4">
      <c r="A4" s="3" t="inlineStr">
        <is>
          <t>Controls</t>
        </is>
      </c>
    </row>
    <row r="6">
      <c r="A6" s="4" t="inlineStr">
        <is>
          <t>Market condition</t>
        </is>
      </c>
      <c r="B6" s="26" t="inlineStr">
        <is>
          <t>Normal</t>
        </is>
      </c>
    </row>
    <row r="7">
      <c r="A7" s="4" t="inlineStr">
        <is>
          <t>Expected sale price under current market ($)</t>
        </is>
      </c>
      <c r="B7" s="20">
        <f>01_Inputs!B15</f>
        <v/>
      </c>
    </row>
    <row r="8">
      <c r="A8" s="4" t="inlineStr">
        <is>
          <t>Target ROI threshold</t>
        </is>
      </c>
      <c r="B8" s="19">
        <f>01_Inputs!B10</f>
        <v/>
      </c>
    </row>
    <row r="9">
      <c r="A9" s="4" t="inlineStr">
        <is>
          <t>Recommended action</t>
        </is>
      </c>
      <c r="B9" s="27">
        <f>IF(B6="Frozen","HOLD &amp; RENT",IF((B7-01_Inputs!B8)/01_Inputs!B8&gt;=B8,"SELL NOW","REPRICE / WAIT"))</f>
        <v/>
      </c>
    </row>
    <row r="11">
      <c r="A11" s="28" t="inlineStr">
        <is>
          <t>Plan A (Sell Now)</t>
        </is>
      </c>
      <c r="B11" s="34" t="n"/>
      <c r="C11" s="34" t="n"/>
      <c r="D11" s="35" t="n"/>
    </row>
    <row r="12">
      <c r="A12" s="16" t="inlineStr">
        <is>
          <t>Sell within the price band when liquidity is normal and base-case ROI meets target.</t>
        </is>
      </c>
      <c r="B12" s="34" t="n"/>
      <c r="C12" s="34" t="n"/>
      <c r="D12" s="35" t="n"/>
    </row>
    <row r="13">
      <c r="A13" s="13" t="n"/>
      <c r="B13" s="13" t="n"/>
      <c r="C13" s="13" t="n"/>
      <c r="D13" s="13" t="n"/>
    </row>
    <row r="14">
      <c r="A14" s="28" t="inlineStr">
        <is>
          <t>Plan B (Hold &amp; Rent 1-3 years)</t>
        </is>
      </c>
      <c r="B14" s="34" t="n"/>
      <c r="C14" s="34" t="n"/>
      <c r="D14" s="35" t="n"/>
    </row>
    <row r="15">
      <c r="A15" s="16" t="inlineStr">
        <is>
          <t>If liquidity freezes, rent the property. Confirm net cash flow is &gt;= $0 after vacancy &amp; reserves.</t>
        </is>
      </c>
      <c r="B15" s="34" t="n"/>
      <c r="C15" s="34" t="n"/>
      <c r="D15" s="35" t="n"/>
    </row>
    <row r="16">
      <c r="A16" s="13" t="inlineStr">
        <is>
          <t>Net cash flow (after vacancy + reserves)</t>
        </is>
      </c>
      <c r="B16" s="20">
        <f>03_Rental_Backstop!B13</f>
        <v/>
      </c>
      <c r="C16" s="13" t="n"/>
      <c r="D16" s="13" t="n"/>
    </row>
    <row r="17">
      <c r="A17" s="13" t="n"/>
      <c r="B17" s="13" t="n"/>
      <c r="C17" s="13" t="n"/>
      <c r="D17" s="13" t="n"/>
    </row>
    <row r="18">
      <c r="A18" s="28" t="inlineStr">
        <is>
          <t>Plan C (Sell Later)</t>
        </is>
      </c>
      <c r="B18" s="34" t="n"/>
      <c r="C18" s="34" t="n"/>
      <c r="D18" s="35" t="n"/>
    </row>
    <row r="19">
      <c r="A19" s="16" t="inlineStr">
        <is>
          <t>After 1-3 years of paydown + potential appreciation, sell from a stronger equity position.</t>
        </is>
      </c>
      <c r="B19" s="34" t="n"/>
      <c r="C19" s="34" t="n"/>
      <c r="D19" s="35" t="n"/>
    </row>
  </sheetData>
  <mergeCells count="7">
    <mergeCell ref="A18:D18"/>
    <mergeCell ref="A12:D12"/>
    <mergeCell ref="A4:D4"/>
    <mergeCell ref="A15:D15"/>
    <mergeCell ref="A19:D19"/>
    <mergeCell ref="A11:D11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16" customWidth="1" min="4" max="4"/>
    <col width="22" customWidth="1" min="5" max="5"/>
    <col width="32" customWidth="1" min="6" max="6"/>
    <col width="24" customWidth="1" min="7" max="7"/>
  </cols>
  <sheetData>
    <row r="1">
      <c r="A1" s="9" t="inlineStr">
        <is>
          <t>Team &amp; Vendor Directory (Fill in as you build your deal team)</t>
        </is>
      </c>
    </row>
    <row r="2">
      <c r="A2" s="2" t="inlineStr">
        <is>
          <t>Add names, emails, phone numbers, websites, and license verification links.</t>
        </is>
      </c>
    </row>
    <row r="5">
      <c r="A5" s="29" t="inlineStr">
        <is>
          <t>Role</t>
        </is>
      </c>
      <c r="B5" s="29" t="inlineStr">
        <is>
          <t>Company/Person</t>
        </is>
      </c>
      <c r="C5" s="29" t="inlineStr">
        <is>
          <t>Email</t>
        </is>
      </c>
      <c r="D5" s="29" t="inlineStr">
        <is>
          <t>Phone</t>
        </is>
      </c>
      <c r="E5" s="29" t="inlineStr">
        <is>
          <t>Website</t>
        </is>
      </c>
      <c r="F5" s="29" t="inlineStr">
        <is>
          <t>License/Verify Link</t>
        </is>
      </c>
      <c r="G5" s="29" t="inlineStr">
        <is>
          <t>Notes</t>
        </is>
      </c>
    </row>
    <row r="6">
      <c r="A6" s="16" t="inlineStr">
        <is>
          <t>Lender / Bank</t>
        </is>
      </c>
      <c r="B6" s="26" t="inlineStr"/>
      <c r="C6" s="26" t="inlineStr"/>
      <c r="D6" s="26" t="inlineStr"/>
      <c r="E6" s="26" t="inlineStr"/>
      <c r="F6" s="30" t="inlineStr">
        <is>
          <t>https://banks.data.fdic.gov/bankfind-suite/bankfind</t>
        </is>
      </c>
      <c r="G6" s="26" t="inlineStr"/>
    </row>
    <row r="7">
      <c r="A7" s="16" t="inlineStr">
        <is>
          <t>Agent / Broker</t>
        </is>
      </c>
      <c r="B7" s="26" t="inlineStr"/>
      <c r="C7" s="26" t="inlineStr"/>
      <c r="D7" s="26" t="inlineStr"/>
      <c r="E7" s="26" t="inlineStr"/>
      <c r="F7" s="26" t="inlineStr"/>
      <c r="G7" s="26" t="inlineStr"/>
    </row>
    <row r="8">
      <c r="A8" s="16" t="inlineStr">
        <is>
          <t>Builder / GC</t>
        </is>
      </c>
      <c r="B8" s="26" t="inlineStr"/>
      <c r="C8" s="26" t="inlineStr"/>
      <c r="D8" s="26" t="inlineStr"/>
      <c r="E8" s="26" t="inlineStr"/>
      <c r="F8" s="26" t="inlineStr"/>
      <c r="G8" s="26" t="inlineStr"/>
    </row>
    <row r="9">
      <c r="A9" s="16" t="inlineStr">
        <is>
          <t>Architect / Drafter</t>
        </is>
      </c>
      <c r="B9" s="26" t="inlineStr"/>
      <c r="C9" s="26" t="inlineStr"/>
      <c r="D9" s="26" t="inlineStr"/>
      <c r="E9" s="26" t="inlineStr"/>
      <c r="F9" s="30" t="inlineStr">
        <is>
          <t>https://www.ncarb.org/get-licensed/state-licensing-boards/architect-lookup</t>
        </is>
      </c>
      <c r="G9" s="26" t="inlineStr"/>
    </row>
    <row r="10">
      <c r="A10" s="16" t="inlineStr">
        <is>
          <t>Engineer</t>
        </is>
      </c>
      <c r="B10" s="26" t="inlineStr"/>
      <c r="C10" s="26" t="inlineStr"/>
      <c r="D10" s="26" t="inlineStr"/>
      <c r="E10" s="26" t="inlineStr"/>
      <c r="F10" s="30" t="inlineStr">
        <is>
          <t>https://ncees.org/about/member-licensing-board-directory/</t>
        </is>
      </c>
      <c r="G10" s="26" t="inlineStr"/>
    </row>
    <row r="11">
      <c r="A11" s="16" t="inlineStr">
        <is>
          <t>Surveyor</t>
        </is>
      </c>
      <c r="B11" s="26" t="inlineStr"/>
      <c r="C11" s="26" t="inlineStr"/>
      <c r="D11" s="26" t="inlineStr"/>
      <c r="E11" s="26" t="inlineStr"/>
      <c r="F11" s="26" t="inlineStr"/>
      <c r="G11" s="26" t="inlineStr"/>
    </row>
    <row r="12">
      <c r="A12" s="16" t="inlineStr">
        <is>
          <t>Title Company / Attorney</t>
        </is>
      </c>
      <c r="B12" s="26" t="inlineStr"/>
      <c r="C12" s="26" t="inlineStr"/>
      <c r="D12" s="26" t="inlineStr"/>
      <c r="E12" s="26" t="inlineStr"/>
      <c r="F12" s="26" t="inlineStr"/>
      <c r="G12" s="26" t="inlineStr"/>
    </row>
    <row r="13">
      <c r="A13" s="16" t="inlineStr">
        <is>
          <t>Insurance</t>
        </is>
      </c>
      <c r="B13" s="26" t="inlineStr"/>
      <c r="C13" s="26" t="inlineStr"/>
      <c r="D13" s="26" t="inlineStr"/>
      <c r="E13" s="26" t="inlineStr"/>
      <c r="F13" s="26" t="inlineStr"/>
      <c r="G13" s="26" t="inlineStr"/>
    </row>
    <row r="14">
      <c r="A14" s="16" t="inlineStr">
        <is>
          <t>Property Manager</t>
        </is>
      </c>
      <c r="B14" s="26" t="inlineStr"/>
      <c r="C14" s="26" t="inlineStr"/>
      <c r="D14" s="26" t="inlineStr"/>
      <c r="E14" s="26" t="inlineStr"/>
      <c r="F14" s="26" t="inlineStr"/>
      <c r="G14" s="26" t="inlineStr"/>
    </row>
    <row r="15">
      <c r="A15" s="16" t="inlineStr">
        <is>
          <t>CPA / Tax Pro</t>
        </is>
      </c>
      <c r="B15" s="26" t="inlineStr"/>
      <c r="C15" s="26" t="inlineStr"/>
      <c r="D15" s="26" t="inlineStr"/>
      <c r="E15" s="26" t="inlineStr"/>
      <c r="F15" s="26" t="inlineStr"/>
      <c r="G15" s="26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4" customWidth="1" min="4" max="4"/>
    <col width="34" customWidth="1" min="5" max="5"/>
    <col width="12" customWidth="1" min="6" max="6"/>
    <col width="28" customWidth="1" min="7" max="7"/>
  </cols>
  <sheetData>
    <row r="1">
      <c r="A1" s="9" t="inlineStr">
        <is>
          <t>Due Diligence Checklist (Title, Access, Zoning, Utilities, Environmental)</t>
        </is>
      </c>
    </row>
    <row r="2">
      <c r="A2" s="2" t="inlineStr">
        <is>
          <t>Track status, evidence links, and notes. Use official sources when possible.</t>
        </is>
      </c>
    </row>
    <row r="6">
      <c r="A6" s="29" t="inlineStr">
        <is>
          <t>Category</t>
        </is>
      </c>
      <c r="B6" s="29" t="inlineStr">
        <is>
          <t>Item</t>
        </is>
      </c>
      <c r="C6" s="29" t="inlineStr">
        <is>
          <t>Status</t>
        </is>
      </c>
      <c r="D6" s="29" t="inlineStr">
        <is>
          <t>Owner</t>
        </is>
      </c>
      <c r="E6" s="29" t="inlineStr">
        <is>
          <t>Evidence Link</t>
        </is>
      </c>
      <c r="F6" s="29" t="inlineStr">
        <is>
          <t>Date</t>
        </is>
      </c>
      <c r="G6" s="29" t="inlineStr">
        <is>
          <t>Notes</t>
        </is>
      </c>
    </row>
    <row r="7">
      <c r="A7" s="16" t="inlineStr">
        <is>
          <t>Title</t>
        </is>
      </c>
      <c r="B7" s="16" t="inlineStr">
        <is>
          <t>Order title commitment / search</t>
        </is>
      </c>
      <c r="C7" s="31" t="inlineStr">
        <is>
          <t>Not Started</t>
        </is>
      </c>
      <c r="D7" s="16" t="inlineStr">
        <is>
          <t>Title Co.</t>
        </is>
      </c>
      <c r="E7" s="13" t="inlineStr"/>
      <c r="F7" s="32" t="inlineStr"/>
      <c r="G7" s="16" t="inlineStr"/>
    </row>
    <row r="8">
      <c r="A8" s="16" t="inlineStr">
        <is>
          <t>Access</t>
        </is>
      </c>
      <c r="B8" s="16" t="inlineStr">
        <is>
          <t>Confirm road frontage or recorded easement</t>
        </is>
      </c>
      <c r="C8" s="31" t="inlineStr">
        <is>
          <t>Not Started</t>
        </is>
      </c>
      <c r="D8" s="16" t="inlineStr">
        <is>
          <t>Analyst</t>
        </is>
      </c>
      <c r="E8" s="13" t="inlineStr"/>
      <c r="F8" s="32" t="inlineStr"/>
      <c r="G8" s="16" t="inlineStr"/>
    </row>
    <row r="9">
      <c r="A9" s="16" t="inlineStr">
        <is>
          <t>Zoning</t>
        </is>
      </c>
      <c r="B9" s="16" t="inlineStr">
        <is>
          <t>Confirm zoning + allowed use (email from county)</t>
        </is>
      </c>
      <c r="C9" s="31" t="inlineStr">
        <is>
          <t>Not Started</t>
        </is>
      </c>
      <c r="D9" s="16" t="inlineStr">
        <is>
          <t>Analyst</t>
        </is>
      </c>
      <c r="E9" s="13" t="inlineStr"/>
      <c r="F9" s="32" t="inlineStr"/>
      <c r="G9" s="16" t="inlineStr"/>
    </row>
    <row r="10">
      <c r="A10" s="16" t="inlineStr">
        <is>
          <t>Utilities</t>
        </is>
      </c>
      <c r="B10" s="16" t="inlineStr">
        <is>
          <t>Verify power/water/sewer/septic feasibility</t>
        </is>
      </c>
      <c r="C10" s="31" t="inlineStr">
        <is>
          <t>Not Started</t>
        </is>
      </c>
      <c r="D10" s="16" t="inlineStr">
        <is>
          <t>Builder</t>
        </is>
      </c>
      <c r="E10" s="13" t="inlineStr"/>
      <c r="F10" s="32" t="inlineStr"/>
      <c r="G10" s="16" t="inlineStr"/>
    </row>
    <row r="11">
      <c r="A11" s="16" t="inlineStr">
        <is>
          <t>Environmental</t>
        </is>
      </c>
      <c r="B11" s="16" t="inlineStr">
        <is>
          <t>FEMA flood check (MSC)</t>
        </is>
      </c>
      <c r="C11" s="31" t="inlineStr">
        <is>
          <t>Not Started</t>
        </is>
      </c>
      <c r="D11" s="16" t="inlineStr">
        <is>
          <t>Analyst</t>
        </is>
      </c>
      <c r="E11" s="33" t="inlineStr">
        <is>
          <t>https://msc.fema.gov/</t>
        </is>
      </c>
      <c r="F11" s="32" t="inlineStr"/>
      <c r="G11" s="16" t="inlineStr"/>
    </row>
    <row r="12">
      <c r="A12" s="16" t="inlineStr">
        <is>
          <t>Environmental</t>
        </is>
      </c>
      <c r="B12" s="16" t="inlineStr">
        <is>
          <t>Wetlands check (USFWS mapper)</t>
        </is>
      </c>
      <c r="C12" s="31" t="inlineStr">
        <is>
          <t>Not Started</t>
        </is>
      </c>
      <c r="D12" s="16" t="inlineStr">
        <is>
          <t>Analyst</t>
        </is>
      </c>
      <c r="E12" s="33" t="inlineStr">
        <is>
          <t>https://www.fws.gov/program/national-wetlands-inventory/wetlands-mapper</t>
        </is>
      </c>
      <c r="F12" s="32" t="inlineStr"/>
      <c r="G12" s="16" t="inlineStr"/>
    </row>
    <row r="13">
      <c r="A13" s="16" t="inlineStr">
        <is>
          <t>Environmental</t>
        </is>
      </c>
      <c r="B13" s="16" t="inlineStr">
        <is>
          <t>Soils/septic suitability (USDA WSS)</t>
        </is>
      </c>
      <c r="C13" s="31" t="inlineStr">
        <is>
          <t>Not Started</t>
        </is>
      </c>
      <c r="D13" s="16" t="inlineStr">
        <is>
          <t>Engineer</t>
        </is>
      </c>
      <c r="E13" s="33" t="inlineStr">
        <is>
          <t>https://websoilsurvey.nrcs.usda.gov/</t>
        </is>
      </c>
      <c r="F13" s="32" t="inlineStr"/>
      <c r="G13" s="16" t="inlineStr"/>
    </row>
    <row r="14">
      <c r="A14" s="16" t="inlineStr">
        <is>
          <t>Environmental</t>
        </is>
      </c>
      <c r="B14" s="16" t="inlineStr">
        <is>
          <t>Nearby regulated facilities (EPA ECHO)</t>
        </is>
      </c>
      <c r="C14" s="31" t="inlineStr">
        <is>
          <t>Not Started</t>
        </is>
      </c>
      <c r="D14" s="16" t="inlineStr">
        <is>
          <t>Analyst</t>
        </is>
      </c>
      <c r="E14" s="33" t="inlineStr">
        <is>
          <t>https://echo.epa.gov/facilities/facility-search</t>
        </is>
      </c>
      <c r="F14" s="32" t="inlineStr"/>
      <c r="G14" s="16" t="inlineStr"/>
    </row>
    <row r="15">
      <c r="A15" s="16" t="inlineStr">
        <is>
          <t>Market</t>
        </is>
      </c>
      <c r="B15" s="16" t="inlineStr">
        <is>
          <t>Rent cross-check (HUD FMR)</t>
        </is>
      </c>
      <c r="C15" s="31" t="inlineStr">
        <is>
          <t>Not Started</t>
        </is>
      </c>
      <c r="D15" s="16" t="inlineStr">
        <is>
          <t>Analyst</t>
        </is>
      </c>
      <c r="E15" s="33" t="inlineStr">
        <is>
          <t>https://www.huduser.gov/portal/datasets/fmr.html</t>
        </is>
      </c>
      <c r="F15" s="32" t="inlineStr"/>
      <c r="G15" s="16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8" customWidth="1" min="4" max="4"/>
    <col width="18" customWidth="1" min="5" max="5"/>
    <col width="24" customWidth="1" min="6" max="6"/>
  </cols>
  <sheetData>
    <row r="1">
      <c r="A1" s="9" t="inlineStr">
        <is>
          <t>Buy Box Definition (Market Selection Rules)</t>
        </is>
      </c>
    </row>
    <row r="2">
      <c r="A2" s="2" t="inlineStr">
        <is>
          <t>Define what you will (and will not) buy. This drives list pulls, offers, and speed.</t>
        </is>
      </c>
    </row>
    <row r="4">
      <c r="A4" s="3" t="inlineStr">
        <is>
          <t>Market Criteria</t>
        </is>
      </c>
    </row>
    <row r="6">
      <c r="A6" s="29" t="inlineStr">
        <is>
          <t>Criterion</t>
        </is>
      </c>
      <c r="B6" s="29" t="inlineStr">
        <is>
          <t>Target/Rule (Input)</t>
        </is>
      </c>
      <c r="C6" s="29" t="inlineStr">
        <is>
          <t>Weight</t>
        </is>
      </c>
      <c r="D6" s="29" t="inlineStr">
        <is>
          <t>Market A Score (1-5)</t>
        </is>
      </c>
      <c r="E6" s="29" t="inlineStr">
        <is>
          <t>Market B Score (1-5)</t>
        </is>
      </c>
      <c r="F6" s="29" t="inlineStr">
        <is>
          <t>Notes</t>
        </is>
      </c>
    </row>
    <row r="7">
      <c r="A7" s="16" t="inlineStr">
        <is>
          <t>Median sale price fits budget</t>
        </is>
      </c>
      <c r="B7" s="26" t="inlineStr"/>
      <c r="C7" s="36" t="n">
        <v>0.15</v>
      </c>
      <c r="D7" s="31" t="inlineStr"/>
      <c r="E7" s="31" t="inlineStr"/>
      <c r="F7" s="16" t="inlineStr"/>
    </row>
    <row r="8">
      <c r="A8" s="16" t="inlineStr">
        <is>
          <t>Days on market (liquidity)</t>
        </is>
      </c>
      <c r="B8" s="26" t="inlineStr"/>
      <c r="C8" s="36" t="n">
        <v>0.15</v>
      </c>
      <c r="D8" s="31" t="inlineStr"/>
      <c r="E8" s="31" t="inlineStr"/>
      <c r="F8" s="16" t="inlineStr"/>
    </row>
    <row r="9">
      <c r="A9" s="16" t="inlineStr">
        <is>
          <t>Population / growth trend</t>
        </is>
      </c>
      <c r="B9" s="26" t="inlineStr"/>
      <c r="C9" s="36" t="n">
        <v>0.1</v>
      </c>
      <c r="D9" s="31" t="inlineStr"/>
      <c r="E9" s="31" t="inlineStr"/>
      <c r="F9" s="16" t="inlineStr"/>
    </row>
    <row r="10">
      <c r="A10" s="16" t="inlineStr">
        <is>
          <t>Permitting friendliness</t>
        </is>
      </c>
      <c r="B10" s="26" t="inlineStr"/>
      <c r="C10" s="36" t="n">
        <v>0.1</v>
      </c>
      <c r="D10" s="31" t="inlineStr"/>
      <c r="E10" s="31" t="inlineStr"/>
      <c r="F10" s="16" t="inlineStr"/>
    </row>
    <row r="11">
      <c r="A11" s="16" t="inlineStr">
        <is>
          <t>Utility access typical (water/power)</t>
        </is>
      </c>
      <c r="B11" s="26" t="inlineStr"/>
      <c r="C11" s="36" t="n">
        <v>0.1</v>
      </c>
      <c r="D11" s="31" t="inlineStr"/>
      <c r="E11" s="31" t="inlineStr"/>
      <c r="F11" s="16" t="inlineStr"/>
    </row>
    <row r="12">
      <c r="A12" s="16" t="inlineStr">
        <is>
          <t>Zoning path (1–4 unit / duplex)</t>
        </is>
      </c>
      <c r="B12" s="26" t="inlineStr"/>
      <c r="C12" s="36" t="n">
        <v>0.15</v>
      </c>
      <c r="D12" s="31" t="inlineStr"/>
      <c r="E12" s="31" t="inlineStr"/>
      <c r="F12" s="16" t="inlineStr"/>
    </row>
    <row r="13">
      <c r="A13" s="16" t="inlineStr">
        <is>
          <t>Buyer pool (investors/retail)</t>
        </is>
      </c>
      <c r="B13" s="26" t="inlineStr"/>
      <c r="C13" s="36" t="n">
        <v>0.1</v>
      </c>
      <c r="D13" s="31" t="inlineStr"/>
      <c r="E13" s="31" t="inlineStr"/>
      <c r="F13" s="16" t="inlineStr"/>
    </row>
    <row r="14">
      <c r="A14" s="16" t="inlineStr">
        <is>
          <t>Comparable inventory (comps available)</t>
        </is>
      </c>
      <c r="B14" s="26" t="inlineStr"/>
      <c r="C14" s="36" t="n">
        <v>0.1</v>
      </c>
      <c r="D14" s="31" t="inlineStr"/>
      <c r="E14" s="31" t="inlineStr"/>
      <c r="F14" s="16" t="inlineStr"/>
    </row>
    <row r="15">
      <c r="A15" s="16" t="inlineStr">
        <is>
          <t>Title complexity rate</t>
        </is>
      </c>
      <c r="B15" s="26" t="inlineStr"/>
      <c r="C15" s="36" t="n">
        <v>0.05</v>
      </c>
      <c r="D15" s="31" t="inlineStr"/>
      <c r="E15" s="31" t="inlineStr"/>
      <c r="F15" s="16" t="inlineStr"/>
    </row>
    <row r="17">
      <c r="A17" s="37" t="inlineStr">
        <is>
          <t>Weighted Score</t>
        </is>
      </c>
      <c r="D17" s="38">
        <f>SUMPRODUCT($C$7:$C$16,$D$7:$D$16)/5</f>
        <v/>
      </c>
      <c r="E17" s="38">
        <f>SUMPRODUCT($C$7:$C$16,$E$7:$E$16)/5</f>
        <v/>
      </c>
    </row>
  </sheetData>
  <mergeCells count="1">
    <mergeCell ref="A4:F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8" customWidth="1" min="5" max="5"/>
    <col width="11" customWidth="1" min="6" max="6"/>
    <col width="12" customWidth="1" min="7" max="7"/>
    <col width="8" customWidth="1" min="8" max="8"/>
    <col width="10" customWidth="1" min="9" max="9"/>
    <col width="16" customWidth="1" min="10" max="10"/>
    <col width="10" customWidth="1" min="11" max="11"/>
  </cols>
  <sheetData>
    <row r="1">
      <c r="A1" s="9" t="inlineStr">
        <is>
          <t>Direct Mail / Outreach Campaign Tracker</t>
        </is>
      </c>
    </row>
    <row r="2">
      <c r="A2" s="2" t="inlineStr">
        <is>
          <t>Track mail batches, leads, deals, and ROI. Keep this boring and consistent.</t>
        </is>
      </c>
    </row>
    <row r="4">
      <c r="A4" s="3" t="inlineStr">
        <is>
          <t>Campaign Log</t>
        </is>
      </c>
    </row>
    <row r="6" ht="28" customHeight="1">
      <c r="A6" s="29" t="inlineStr">
        <is>
          <t>Campaign ID</t>
        </is>
      </c>
      <c r="B6" s="29" t="inlineStr">
        <is>
          <t>Market</t>
        </is>
      </c>
      <c r="C6" s="29" t="inlineStr">
        <is>
          <t>List Type</t>
        </is>
      </c>
      <c r="D6" s="29" t="inlineStr">
        <is>
          <t>Drop Date</t>
        </is>
      </c>
      <c r="E6" s="29" t="inlineStr">
        <is>
          <t>Pieces</t>
        </is>
      </c>
      <c r="F6" s="29" t="inlineStr">
        <is>
          <t>Cost/Piece</t>
        </is>
      </c>
      <c r="G6" s="29" t="inlineStr">
        <is>
          <t>Total Cost</t>
        </is>
      </c>
      <c r="H6" s="29" t="inlineStr">
        <is>
          <t>Leads</t>
        </is>
      </c>
      <c r="I6" s="29" t="inlineStr">
        <is>
          <t>Contracts</t>
        </is>
      </c>
      <c r="J6" s="29" t="inlineStr">
        <is>
          <t>Profit from Deals</t>
        </is>
      </c>
      <c r="K6" s="29" t="inlineStr">
        <is>
          <t>ROI</t>
        </is>
      </c>
    </row>
    <row r="7">
      <c r="A7" s="16" t="inlineStr">
        <is>
          <t>CM-001</t>
        </is>
      </c>
      <c r="B7" s="26" t="n"/>
      <c r="C7" s="26" t="n"/>
      <c r="D7" s="39" t="n"/>
      <c r="E7" s="40" t="n"/>
      <c r="F7" s="41" t="n"/>
      <c r="G7" s="20">
        <f>IF(OR(E7="",F7=""),"",E7*F7)</f>
        <v/>
      </c>
      <c r="H7" s="40" t="n"/>
      <c r="I7" s="40" t="n"/>
      <c r="J7" s="10" t="n"/>
      <c r="K7" s="19">
        <f>IF(G7="","",IF(G7=0,"",J7/G7))</f>
        <v/>
      </c>
    </row>
    <row r="8">
      <c r="A8" s="16" t="inlineStr"/>
      <c r="B8" s="26" t="n"/>
      <c r="C8" s="26" t="n"/>
      <c r="D8" s="39" t="n"/>
      <c r="E8" s="40" t="n"/>
      <c r="F8" s="41" t="n"/>
      <c r="G8" s="20">
        <f>IF(OR(E8="",F8=""),"",E8*F8)</f>
        <v/>
      </c>
      <c r="H8" s="40" t="n"/>
      <c r="I8" s="40" t="n"/>
      <c r="J8" s="10" t="n"/>
      <c r="K8" s="19">
        <f>IF(G8="","",IF(G8=0,"",J8/G8))</f>
        <v/>
      </c>
    </row>
    <row r="9">
      <c r="A9" s="16" t="inlineStr"/>
      <c r="B9" s="26" t="n"/>
      <c r="C9" s="26" t="n"/>
      <c r="D9" s="39" t="n"/>
      <c r="E9" s="40" t="n"/>
      <c r="F9" s="41" t="n"/>
      <c r="G9" s="20">
        <f>IF(OR(E9="",F9=""),"",E9*F9)</f>
        <v/>
      </c>
      <c r="H9" s="40" t="n"/>
      <c r="I9" s="40" t="n"/>
      <c r="J9" s="10" t="n"/>
      <c r="K9" s="19">
        <f>IF(G9="","",IF(G9=0,"",J9/G9))</f>
        <v/>
      </c>
    </row>
    <row r="10">
      <c r="A10" s="16" t="inlineStr"/>
      <c r="B10" s="26" t="n"/>
      <c r="C10" s="26" t="n"/>
      <c r="D10" s="39" t="n"/>
      <c r="E10" s="40" t="n"/>
      <c r="F10" s="41" t="n"/>
      <c r="G10" s="20">
        <f>IF(OR(E10="",F10=""),"",E10*F10)</f>
        <v/>
      </c>
      <c r="H10" s="40" t="n"/>
      <c r="I10" s="40" t="n"/>
      <c r="J10" s="10" t="n"/>
      <c r="K10" s="19">
        <f>IF(G10="","",IF(G10=0,"",J10/G10))</f>
        <v/>
      </c>
    </row>
    <row r="11">
      <c r="A11" s="16" t="inlineStr"/>
      <c r="B11" s="26" t="n"/>
      <c r="C11" s="26" t="n"/>
      <c r="D11" s="39" t="n"/>
      <c r="E11" s="40" t="n"/>
      <c r="F11" s="41" t="n"/>
      <c r="G11" s="20">
        <f>IF(OR(E11="",F11=""),"",E11*F11)</f>
        <v/>
      </c>
      <c r="H11" s="40" t="n"/>
      <c r="I11" s="40" t="n"/>
      <c r="J11" s="10" t="n"/>
      <c r="K11" s="19">
        <f>IF(G11="","",IF(G11=0,"",J11/G11))</f>
        <v/>
      </c>
    </row>
    <row r="12">
      <c r="A12" s="16" t="inlineStr"/>
      <c r="B12" s="26" t="n"/>
      <c r="C12" s="26" t="n"/>
      <c r="D12" s="39" t="n"/>
      <c r="E12" s="40" t="n"/>
      <c r="F12" s="41" t="n"/>
      <c r="G12" s="20">
        <f>IF(OR(E12="",F12=""),"",E12*F12)</f>
        <v/>
      </c>
      <c r="H12" s="40" t="n"/>
      <c r="I12" s="40" t="n"/>
      <c r="J12" s="10" t="n"/>
      <c r="K12" s="19">
        <f>IF(G12="","",IF(G12=0,"",J12/G12))</f>
        <v/>
      </c>
    </row>
    <row r="13">
      <c r="A13" s="16" t="inlineStr"/>
      <c r="B13" s="26" t="n"/>
      <c r="C13" s="26" t="n"/>
      <c r="D13" s="39" t="n"/>
      <c r="E13" s="40" t="n"/>
      <c r="F13" s="41" t="n"/>
      <c r="G13" s="20">
        <f>IF(OR(E13="",F13=""),"",E13*F13)</f>
        <v/>
      </c>
      <c r="H13" s="40" t="n"/>
      <c r="I13" s="40" t="n"/>
      <c r="J13" s="10" t="n"/>
      <c r="K13" s="19">
        <f>IF(G13="","",IF(G13=0,"",J13/G13))</f>
        <v/>
      </c>
    </row>
    <row r="14">
      <c r="A14" s="16" t="inlineStr"/>
      <c r="B14" s="26" t="n"/>
      <c r="C14" s="26" t="n"/>
      <c r="D14" s="39" t="n"/>
      <c r="E14" s="40" t="n"/>
      <c r="F14" s="41" t="n"/>
      <c r="G14" s="20">
        <f>IF(OR(E14="",F14=""),"",E14*F14)</f>
        <v/>
      </c>
      <c r="H14" s="40" t="n"/>
      <c r="I14" s="40" t="n"/>
      <c r="J14" s="10" t="n"/>
      <c r="K14" s="19">
        <f>IF(G14="","",IF(G14=0,"",J14/G14))</f>
        <v/>
      </c>
    </row>
    <row r="15">
      <c r="A15" s="16" t="inlineStr"/>
      <c r="B15" s="26" t="n"/>
      <c r="C15" s="26" t="n"/>
      <c r="D15" s="39" t="n"/>
      <c r="E15" s="40" t="n"/>
      <c r="F15" s="41" t="n"/>
      <c r="G15" s="20">
        <f>IF(OR(E15="",F15=""),"",E15*F15)</f>
        <v/>
      </c>
      <c r="H15" s="40" t="n"/>
      <c r="I15" s="40" t="n"/>
      <c r="J15" s="10" t="n"/>
      <c r="K15" s="19">
        <f>IF(G15="","",IF(G15=0,"",J15/G15))</f>
        <v/>
      </c>
    </row>
    <row r="16">
      <c r="A16" s="16" t="inlineStr"/>
      <c r="B16" s="26" t="n"/>
      <c r="C16" s="26" t="n"/>
      <c r="D16" s="39" t="n"/>
      <c r="E16" s="40" t="n"/>
      <c r="F16" s="41" t="n"/>
      <c r="G16" s="20">
        <f>IF(OR(E16="",F16=""),"",E16*F16)</f>
        <v/>
      </c>
      <c r="H16" s="40" t="n"/>
      <c r="I16" s="40" t="n"/>
      <c r="J16" s="10" t="n"/>
      <c r="K16" s="19">
        <f>IF(G16="","",IF(G16=0,"",J16/G16))</f>
        <v/>
      </c>
    </row>
    <row r="17">
      <c r="A17" s="16" t="inlineStr"/>
      <c r="B17" s="26" t="n"/>
      <c r="C17" s="26" t="n"/>
      <c r="D17" s="39" t="n"/>
      <c r="E17" s="40" t="n"/>
      <c r="F17" s="41" t="n"/>
      <c r="G17" s="20">
        <f>IF(OR(E17="",F17=""),"",E17*F17)</f>
        <v/>
      </c>
      <c r="H17" s="40" t="n"/>
      <c r="I17" s="40" t="n"/>
      <c r="J17" s="10" t="n"/>
      <c r="K17" s="19">
        <f>IF(G17="","",IF(G17=0,"",J17/G17))</f>
        <v/>
      </c>
    </row>
    <row r="18">
      <c r="A18" s="16" t="inlineStr"/>
      <c r="B18" s="26" t="n"/>
      <c r="C18" s="26" t="n"/>
      <c r="D18" s="39" t="n"/>
      <c r="E18" s="40" t="n"/>
      <c r="F18" s="41" t="n"/>
      <c r="G18" s="20">
        <f>IF(OR(E18="",F18=""),"",E18*F18)</f>
        <v/>
      </c>
      <c r="H18" s="40" t="n"/>
      <c r="I18" s="40" t="n"/>
      <c r="J18" s="10" t="n"/>
      <c r="K18" s="19">
        <f>IF(G18="","",IF(G18=0,"",J18/G18))</f>
        <v/>
      </c>
    </row>
    <row r="19">
      <c r="A19" s="16" t="inlineStr"/>
      <c r="B19" s="26" t="n"/>
      <c r="C19" s="26" t="n"/>
      <c r="D19" s="39" t="n"/>
      <c r="E19" s="40" t="n"/>
      <c r="F19" s="41" t="n"/>
      <c r="G19" s="20">
        <f>IF(OR(E19="",F19=""),"",E19*F19)</f>
        <v/>
      </c>
      <c r="H19" s="40" t="n"/>
      <c r="I19" s="40" t="n"/>
      <c r="J19" s="10" t="n"/>
      <c r="K19" s="19">
        <f>IF(G19="","",IF(G19=0,"",J19/G19))</f>
        <v/>
      </c>
    </row>
    <row r="20">
      <c r="A20" s="16" t="inlineStr"/>
      <c r="B20" s="26" t="n"/>
      <c r="C20" s="26" t="n"/>
      <c r="D20" s="39" t="n"/>
      <c r="E20" s="40" t="n"/>
      <c r="F20" s="41" t="n"/>
      <c r="G20" s="20">
        <f>IF(OR(E20="",F20=""),"",E20*F20)</f>
        <v/>
      </c>
      <c r="H20" s="40" t="n"/>
      <c r="I20" s="40" t="n"/>
      <c r="J20" s="10" t="n"/>
      <c r="K20" s="19">
        <f>IF(G20="","",IF(G20=0,"",J20/G20))</f>
        <v/>
      </c>
    </row>
    <row r="21">
      <c r="A21" s="16" t="inlineStr"/>
      <c r="B21" s="26" t="n"/>
      <c r="C21" s="26" t="n"/>
      <c r="D21" s="39" t="n"/>
      <c r="E21" s="40" t="n"/>
      <c r="F21" s="41" t="n"/>
      <c r="G21" s="20">
        <f>IF(OR(E21="",F21=""),"",E21*F21)</f>
        <v/>
      </c>
      <c r="H21" s="40" t="n"/>
      <c r="I21" s="40" t="n"/>
      <c r="J21" s="10" t="n"/>
      <c r="K21" s="19">
        <f>IF(G21="","",IF(G21=0,"",J21/G21))</f>
        <v/>
      </c>
    </row>
    <row r="22">
      <c r="A22" s="16" t="inlineStr"/>
      <c r="B22" s="26" t="n"/>
      <c r="C22" s="26" t="n"/>
      <c r="D22" s="39" t="n"/>
      <c r="E22" s="40" t="n"/>
      <c r="F22" s="41" t="n"/>
      <c r="G22" s="20">
        <f>IF(OR(E22="",F22=""),"",E22*F22)</f>
        <v/>
      </c>
      <c r="H22" s="40" t="n"/>
      <c r="I22" s="40" t="n"/>
      <c r="J22" s="10" t="n"/>
      <c r="K22" s="19">
        <f>IF(G22="","",IF(G22=0,"",J22/G22))</f>
        <v/>
      </c>
    </row>
    <row r="23">
      <c r="A23" s="16" t="inlineStr"/>
      <c r="B23" s="26" t="n"/>
      <c r="C23" s="26" t="n"/>
      <c r="D23" s="39" t="n"/>
      <c r="E23" s="40" t="n"/>
      <c r="F23" s="41" t="n"/>
      <c r="G23" s="20">
        <f>IF(OR(E23="",F23=""),"",E23*F23)</f>
        <v/>
      </c>
      <c r="H23" s="40" t="n"/>
      <c r="I23" s="40" t="n"/>
      <c r="J23" s="10" t="n"/>
      <c r="K23" s="19">
        <f>IF(G23="","",IF(G23=0,"",J23/G23))</f>
        <v/>
      </c>
    </row>
    <row r="24">
      <c r="A24" s="16" t="inlineStr"/>
      <c r="B24" s="26" t="n"/>
      <c r="C24" s="26" t="n"/>
      <c r="D24" s="39" t="n"/>
      <c r="E24" s="40" t="n"/>
      <c r="F24" s="41" t="n"/>
      <c r="G24" s="20">
        <f>IF(OR(E24="",F24=""),"",E24*F24)</f>
        <v/>
      </c>
      <c r="H24" s="40" t="n"/>
      <c r="I24" s="40" t="n"/>
      <c r="J24" s="10" t="n"/>
      <c r="K24" s="19">
        <f>IF(G24="","",IF(G24=0,"",J24/G24))</f>
        <v/>
      </c>
    </row>
    <row r="25">
      <c r="A25" s="16" t="inlineStr"/>
      <c r="B25" s="26" t="n"/>
      <c r="C25" s="26" t="n"/>
      <c r="D25" s="39" t="n"/>
      <c r="E25" s="40" t="n"/>
      <c r="F25" s="41" t="n"/>
      <c r="G25" s="20">
        <f>IF(OR(E25="",F25=""),"",E25*F25)</f>
        <v/>
      </c>
      <c r="H25" s="40" t="n"/>
      <c r="I25" s="40" t="n"/>
      <c r="J25" s="10" t="n"/>
      <c r="K25" s="19">
        <f>IF(G25="","",IF(G25=0,"",J25/G25))</f>
        <v/>
      </c>
    </row>
    <row r="26">
      <c r="A26" s="16" t="inlineStr"/>
      <c r="B26" s="26" t="n"/>
      <c r="C26" s="26" t="n"/>
      <c r="D26" s="39" t="n"/>
      <c r="E26" s="40" t="n"/>
      <c r="F26" s="41" t="n"/>
      <c r="G26" s="20">
        <f>IF(OR(E26="",F26=""),"",E26*F26)</f>
        <v/>
      </c>
      <c r="H26" s="40" t="n"/>
      <c r="I26" s="40" t="n"/>
      <c r="J26" s="10" t="n"/>
      <c r="K26" s="19">
        <f>IF(G26="","",IF(G26=0,"",J26/G26))</f>
        <v/>
      </c>
    </row>
    <row r="27">
      <c r="A27" s="16" t="inlineStr"/>
      <c r="B27" s="26" t="n"/>
      <c r="C27" s="26" t="n"/>
      <c r="D27" s="39" t="n"/>
      <c r="E27" s="40" t="n"/>
      <c r="F27" s="41" t="n"/>
      <c r="G27" s="20">
        <f>IF(OR(E27="",F27=""),"",E27*F27)</f>
        <v/>
      </c>
      <c r="H27" s="40" t="n"/>
      <c r="I27" s="40" t="n"/>
      <c r="J27" s="10" t="n"/>
      <c r="K27" s="19">
        <f>IF(G27="","",IF(G27=0,"",J27/G27))</f>
        <v/>
      </c>
    </row>
    <row r="28">
      <c r="A28" s="16" t="inlineStr"/>
      <c r="B28" s="26" t="n"/>
      <c r="C28" s="26" t="n"/>
      <c r="D28" s="39" t="n"/>
      <c r="E28" s="40" t="n"/>
      <c r="F28" s="41" t="n"/>
      <c r="G28" s="20">
        <f>IF(OR(E28="",F28=""),"",E28*F28)</f>
        <v/>
      </c>
      <c r="H28" s="40" t="n"/>
      <c r="I28" s="40" t="n"/>
      <c r="J28" s="10" t="n"/>
      <c r="K28" s="19">
        <f>IF(G28="","",IF(G28=0,"",J28/G28))</f>
        <v/>
      </c>
    </row>
    <row r="29">
      <c r="A29" s="16" t="inlineStr"/>
      <c r="B29" s="26" t="n"/>
      <c r="C29" s="26" t="n"/>
      <c r="D29" s="39" t="n"/>
      <c r="E29" s="40" t="n"/>
      <c r="F29" s="41" t="n"/>
      <c r="G29" s="20">
        <f>IF(OR(E29="",F29=""),"",E29*F29)</f>
        <v/>
      </c>
      <c r="H29" s="40" t="n"/>
      <c r="I29" s="40" t="n"/>
      <c r="J29" s="10" t="n"/>
      <c r="K29" s="19">
        <f>IF(G29="","",IF(G29=0,"",J29/G29))</f>
        <v/>
      </c>
    </row>
    <row r="30">
      <c r="A30" s="16" t="inlineStr"/>
      <c r="B30" s="26" t="n"/>
      <c r="C30" s="26" t="n"/>
      <c r="D30" s="39" t="n"/>
      <c r="E30" s="40" t="n"/>
      <c r="F30" s="41" t="n"/>
      <c r="G30" s="20">
        <f>IF(OR(E30="",F30=""),"",E30*F30)</f>
        <v/>
      </c>
      <c r="H30" s="40" t="n"/>
      <c r="I30" s="40" t="n"/>
      <c r="J30" s="10" t="n"/>
      <c r="K30" s="19">
        <f>IF(G30="","",IF(G30=0,"",J30/G30))</f>
        <v/>
      </c>
    </row>
    <row r="31">
      <c r="A31" s="16" t="inlineStr"/>
      <c r="B31" s="26" t="n"/>
      <c r="C31" s="26" t="n"/>
      <c r="D31" s="39" t="n"/>
      <c r="E31" s="40" t="n"/>
      <c r="F31" s="41" t="n"/>
      <c r="G31" s="20">
        <f>IF(OR(E31="",F31=""),"",E31*F31)</f>
        <v/>
      </c>
      <c r="H31" s="40" t="n"/>
      <c r="I31" s="40" t="n"/>
      <c r="J31" s="10" t="n"/>
      <c r="K31" s="19">
        <f>IF(G31="","",IF(G31=0,"",J31/G31))</f>
        <v/>
      </c>
    </row>
    <row r="32">
      <c r="A32" s="16" t="inlineStr"/>
      <c r="B32" s="26" t="n"/>
      <c r="C32" s="26" t="n"/>
      <c r="D32" s="39" t="n"/>
      <c r="E32" s="40" t="n"/>
      <c r="F32" s="41" t="n"/>
      <c r="G32" s="20">
        <f>IF(OR(E32="",F32=""),"",E32*F32)</f>
        <v/>
      </c>
      <c r="H32" s="40" t="n"/>
      <c r="I32" s="40" t="n"/>
      <c r="J32" s="10" t="n"/>
      <c r="K32" s="19">
        <f>IF(G32="","",IF(G32=0,"",J32/G32))</f>
        <v/>
      </c>
    </row>
    <row r="33">
      <c r="A33" s="16" t="inlineStr"/>
      <c r="B33" s="26" t="n"/>
      <c r="C33" s="26" t="n"/>
      <c r="D33" s="39" t="n"/>
      <c r="E33" s="40" t="n"/>
      <c r="F33" s="41" t="n"/>
      <c r="G33" s="20">
        <f>IF(OR(E33="",F33=""),"",E33*F33)</f>
        <v/>
      </c>
      <c r="H33" s="40" t="n"/>
      <c r="I33" s="40" t="n"/>
      <c r="J33" s="10" t="n"/>
      <c r="K33" s="19">
        <f>IF(G33="","",IF(G33=0,"",J33/G33))</f>
        <v/>
      </c>
    </row>
    <row r="34">
      <c r="A34" s="16" t="inlineStr"/>
      <c r="B34" s="26" t="n"/>
      <c r="C34" s="26" t="n"/>
      <c r="D34" s="39" t="n"/>
      <c r="E34" s="40" t="n"/>
      <c r="F34" s="41" t="n"/>
      <c r="G34" s="20">
        <f>IF(OR(E34="",F34=""),"",E34*F34)</f>
        <v/>
      </c>
      <c r="H34" s="40" t="n"/>
      <c r="I34" s="40" t="n"/>
      <c r="J34" s="10" t="n"/>
      <c r="K34" s="19">
        <f>IF(G34="","",IF(G34=0,"",J34/G34))</f>
        <v/>
      </c>
    </row>
    <row r="35">
      <c r="A35" s="16" t="inlineStr"/>
      <c r="B35" s="26" t="n"/>
      <c r="C35" s="26" t="n"/>
      <c r="D35" s="39" t="n"/>
      <c r="E35" s="40" t="n"/>
      <c r="F35" s="41" t="n"/>
      <c r="G35" s="20">
        <f>IF(OR(E35="",F35=""),"",E35*F35)</f>
        <v/>
      </c>
      <c r="H35" s="40" t="n"/>
      <c r="I35" s="40" t="n"/>
      <c r="J35" s="10" t="n"/>
      <c r="K35" s="19">
        <f>IF(G35="","",IF(G35=0,"",J35/G35))</f>
        <v/>
      </c>
    </row>
    <row r="36">
      <c r="A36" s="16" t="inlineStr"/>
      <c r="B36" s="26" t="n"/>
      <c r="C36" s="26" t="n"/>
      <c r="D36" s="39" t="n"/>
      <c r="E36" s="40" t="n"/>
      <c r="F36" s="41" t="n"/>
      <c r="G36" s="20">
        <f>IF(OR(E36="",F36=""),"",E36*F36)</f>
        <v/>
      </c>
      <c r="H36" s="40" t="n"/>
      <c r="I36" s="40" t="n"/>
      <c r="J36" s="10" t="n"/>
      <c r="K36" s="19">
        <f>IF(G36="","",IF(G36=0,"",J36/G36))</f>
        <v/>
      </c>
    </row>
    <row r="37">
      <c r="A37" s="16" t="inlineStr"/>
      <c r="B37" s="26" t="n"/>
      <c r="C37" s="26" t="n"/>
      <c r="D37" s="39" t="n"/>
      <c r="E37" s="40" t="n"/>
      <c r="F37" s="41" t="n"/>
      <c r="G37" s="20">
        <f>IF(OR(E37="",F37=""),"",E37*F37)</f>
        <v/>
      </c>
      <c r="H37" s="40" t="n"/>
      <c r="I37" s="40" t="n"/>
      <c r="J37" s="10" t="n"/>
      <c r="K37" s="19">
        <f>IF(G37="","",IF(G37=0,"",J37/G37))</f>
        <v/>
      </c>
    </row>
    <row r="38">
      <c r="A38" s="16" t="inlineStr"/>
      <c r="B38" s="26" t="n"/>
      <c r="C38" s="26" t="n"/>
      <c r="D38" s="39" t="n"/>
      <c r="E38" s="40" t="n"/>
      <c r="F38" s="41" t="n"/>
      <c r="G38" s="20">
        <f>IF(OR(E38="",F38=""),"",E38*F38)</f>
        <v/>
      </c>
      <c r="H38" s="40" t="n"/>
      <c r="I38" s="40" t="n"/>
      <c r="J38" s="10" t="n"/>
      <c r="K38" s="19">
        <f>IF(G38="","",IF(G38=0,"",J38/G38))</f>
        <v/>
      </c>
    </row>
    <row r="39">
      <c r="A39" s="16" t="inlineStr"/>
      <c r="B39" s="26" t="n"/>
      <c r="C39" s="26" t="n"/>
      <c r="D39" s="39" t="n"/>
      <c r="E39" s="40" t="n"/>
      <c r="F39" s="41" t="n"/>
      <c r="G39" s="20">
        <f>IF(OR(E39="",F39=""),"",E39*F39)</f>
        <v/>
      </c>
      <c r="H39" s="40" t="n"/>
      <c r="I39" s="40" t="n"/>
      <c r="J39" s="10" t="n"/>
      <c r="K39" s="19">
        <f>IF(G39="","",IF(G39=0,"",J39/G39))</f>
        <v/>
      </c>
    </row>
    <row r="40">
      <c r="A40" s="16" t="inlineStr"/>
      <c r="B40" s="26" t="n"/>
      <c r="C40" s="26" t="n"/>
      <c r="D40" s="39" t="n"/>
      <c r="E40" s="40" t="n"/>
      <c r="F40" s="41" t="n"/>
      <c r="G40" s="20">
        <f>IF(OR(E40="",F40=""),"",E40*F40)</f>
        <v/>
      </c>
      <c r="H40" s="40" t="n"/>
      <c r="I40" s="40" t="n"/>
      <c r="J40" s="10" t="n"/>
      <c r="K40" s="19">
        <f>IF(G40="","",IF(G40=0,"",J40/G40))</f>
        <v/>
      </c>
    </row>
    <row r="41">
      <c r="A41" s="16" t="inlineStr"/>
      <c r="B41" s="26" t="n"/>
      <c r="C41" s="26" t="n"/>
      <c r="D41" s="39" t="n"/>
      <c r="E41" s="40" t="n"/>
      <c r="F41" s="41" t="n"/>
      <c r="G41" s="20">
        <f>IF(OR(E41="",F41=""),"",E41*F41)</f>
        <v/>
      </c>
      <c r="H41" s="40" t="n"/>
      <c r="I41" s="40" t="n"/>
      <c r="J41" s="10" t="n"/>
      <c r="K41" s="19">
        <f>IF(G41="","",IF(G41=0,"",J41/G41))</f>
        <v/>
      </c>
    </row>
    <row r="42">
      <c r="A42" s="16" t="inlineStr"/>
      <c r="B42" s="26" t="n"/>
      <c r="C42" s="26" t="n"/>
      <c r="D42" s="39" t="n"/>
      <c r="E42" s="40" t="n"/>
      <c r="F42" s="41" t="n"/>
      <c r="G42" s="20">
        <f>IF(OR(E42="",F42=""),"",E42*F42)</f>
        <v/>
      </c>
      <c r="H42" s="40" t="n"/>
      <c r="I42" s="40" t="n"/>
      <c r="J42" s="10" t="n"/>
      <c r="K42" s="19">
        <f>IF(G42="","",IF(G42=0,"",J42/G42))</f>
        <v/>
      </c>
    </row>
    <row r="43">
      <c r="A43" s="16" t="inlineStr"/>
      <c r="B43" s="26" t="n"/>
      <c r="C43" s="26" t="n"/>
      <c r="D43" s="39" t="n"/>
      <c r="E43" s="40" t="n"/>
      <c r="F43" s="41" t="n"/>
      <c r="G43" s="20">
        <f>IF(OR(E43="",F43=""),"",E43*F43)</f>
        <v/>
      </c>
      <c r="H43" s="40" t="n"/>
      <c r="I43" s="40" t="n"/>
      <c r="J43" s="10" t="n"/>
      <c r="K43" s="19">
        <f>IF(G43="","",IF(G43=0,"",J43/G43))</f>
        <v/>
      </c>
    </row>
    <row r="44">
      <c r="A44" s="16" t="inlineStr"/>
      <c r="B44" s="26" t="n"/>
      <c r="C44" s="26" t="n"/>
      <c r="D44" s="39" t="n"/>
      <c r="E44" s="40" t="n"/>
      <c r="F44" s="41" t="n"/>
      <c r="G44" s="20">
        <f>IF(OR(E44="",F44=""),"",E44*F44)</f>
        <v/>
      </c>
      <c r="H44" s="40" t="n"/>
      <c r="I44" s="40" t="n"/>
      <c r="J44" s="10" t="n"/>
      <c r="K44" s="19">
        <f>IF(G44="","",IF(G44=0,"",J44/G44))</f>
        <v/>
      </c>
    </row>
    <row r="45">
      <c r="A45" s="16" t="inlineStr"/>
      <c r="B45" s="26" t="n"/>
      <c r="C45" s="26" t="n"/>
      <c r="D45" s="39" t="n"/>
      <c r="E45" s="40" t="n"/>
      <c r="F45" s="41" t="n"/>
      <c r="G45" s="20">
        <f>IF(OR(E45="",F45=""),"",E45*F45)</f>
        <v/>
      </c>
      <c r="H45" s="40" t="n"/>
      <c r="I45" s="40" t="n"/>
      <c r="J45" s="10" t="n"/>
      <c r="K45" s="19">
        <f>IF(G45="","",IF(G45=0,"",J45/G45))</f>
        <v/>
      </c>
    </row>
    <row r="46">
      <c r="A46" s="16" t="inlineStr"/>
      <c r="B46" s="26" t="n"/>
      <c r="C46" s="26" t="n"/>
      <c r="D46" s="39" t="n"/>
      <c r="E46" s="40" t="n"/>
      <c r="F46" s="41" t="n"/>
      <c r="G46" s="20">
        <f>IF(OR(E46="",F46=""),"",E46*F46)</f>
        <v/>
      </c>
      <c r="H46" s="40" t="n"/>
      <c r="I46" s="40" t="n"/>
      <c r="J46" s="10" t="n"/>
      <c r="K46" s="19">
        <f>IF(G46="","",IF(G46=0,"",J46/G46))</f>
        <v/>
      </c>
    </row>
    <row r="47">
      <c r="A47" s="16" t="inlineStr"/>
      <c r="B47" s="26" t="n"/>
      <c r="C47" s="26" t="n"/>
      <c r="D47" s="39" t="n"/>
      <c r="E47" s="40" t="n"/>
      <c r="F47" s="41" t="n"/>
      <c r="G47" s="20">
        <f>IF(OR(E47="",F47=""),"",E47*F47)</f>
        <v/>
      </c>
      <c r="H47" s="40" t="n"/>
      <c r="I47" s="40" t="n"/>
      <c r="J47" s="10" t="n"/>
      <c r="K47" s="19">
        <f>IF(G47="","",IF(G47=0,"",J47/G47))</f>
        <v/>
      </c>
    </row>
    <row r="48">
      <c r="A48" s="16" t="inlineStr"/>
      <c r="B48" s="26" t="n"/>
      <c r="C48" s="26" t="n"/>
      <c r="D48" s="39" t="n"/>
      <c r="E48" s="40" t="n"/>
      <c r="F48" s="41" t="n"/>
      <c r="G48" s="20">
        <f>IF(OR(E48="",F48=""),"",E48*F48)</f>
        <v/>
      </c>
      <c r="H48" s="40" t="n"/>
      <c r="I48" s="40" t="n"/>
      <c r="J48" s="10" t="n"/>
      <c r="K48" s="19">
        <f>IF(G48="","",IF(G48=0,"",J48/G48))</f>
        <v/>
      </c>
    </row>
    <row r="49">
      <c r="A49" s="16" t="inlineStr"/>
      <c r="B49" s="26" t="n"/>
      <c r="C49" s="26" t="n"/>
      <c r="D49" s="39" t="n"/>
      <c r="E49" s="40" t="n"/>
      <c r="F49" s="41" t="n"/>
      <c r="G49" s="20">
        <f>IF(OR(E49="",F49=""),"",E49*F49)</f>
        <v/>
      </c>
      <c r="H49" s="40" t="n"/>
      <c r="I49" s="40" t="n"/>
      <c r="J49" s="10" t="n"/>
      <c r="K49" s="19">
        <f>IF(G49="","",IF(G49=0,"",J49/G49))</f>
        <v/>
      </c>
    </row>
    <row r="50">
      <c r="A50" s="16" t="inlineStr"/>
      <c r="B50" s="26" t="n"/>
      <c r="C50" s="26" t="n"/>
      <c r="D50" s="39" t="n"/>
      <c r="E50" s="40" t="n"/>
      <c r="F50" s="41" t="n"/>
      <c r="G50" s="20">
        <f>IF(OR(E50="",F50=""),"",E50*F50)</f>
        <v/>
      </c>
      <c r="H50" s="40" t="n"/>
      <c r="I50" s="40" t="n"/>
      <c r="J50" s="10" t="n"/>
      <c r="K50" s="19">
        <f>IF(G50="","",IF(G50=0,"",J50/G50))</f>
        <v/>
      </c>
    </row>
    <row r="51">
      <c r="A51" s="16" t="inlineStr"/>
      <c r="B51" s="26" t="n"/>
      <c r="C51" s="26" t="n"/>
      <c r="D51" s="39" t="n"/>
      <c r="E51" s="40" t="n"/>
      <c r="F51" s="41" t="n"/>
      <c r="G51" s="20">
        <f>IF(OR(E51="",F51=""),"",E51*F51)</f>
        <v/>
      </c>
      <c r="H51" s="40" t="n"/>
      <c r="I51" s="40" t="n"/>
      <c r="J51" s="10" t="n"/>
      <c r="K51" s="19">
        <f>IF(G51="","",IF(G51=0,"",J51/G51))</f>
        <v/>
      </c>
    </row>
    <row r="52">
      <c r="A52" s="16" t="inlineStr"/>
      <c r="B52" s="26" t="n"/>
      <c r="C52" s="26" t="n"/>
      <c r="D52" s="39" t="n"/>
      <c r="E52" s="40" t="n"/>
      <c r="F52" s="41" t="n"/>
      <c r="G52" s="20">
        <f>IF(OR(E52="",F52=""),"",E52*F52)</f>
        <v/>
      </c>
      <c r="H52" s="40" t="n"/>
      <c r="I52" s="40" t="n"/>
      <c r="J52" s="10" t="n"/>
      <c r="K52" s="19">
        <f>IF(G52="","",IF(G52=0,"",J52/G52))</f>
        <v/>
      </c>
    </row>
    <row r="53">
      <c r="A53" s="16" t="inlineStr"/>
      <c r="B53" s="26" t="n"/>
      <c r="C53" s="26" t="n"/>
      <c r="D53" s="39" t="n"/>
      <c r="E53" s="40" t="n"/>
      <c r="F53" s="41" t="n"/>
      <c r="G53" s="20">
        <f>IF(OR(E53="",F53=""),"",E53*F53)</f>
        <v/>
      </c>
      <c r="H53" s="40" t="n"/>
      <c r="I53" s="40" t="n"/>
      <c r="J53" s="10" t="n"/>
      <c r="K53" s="19">
        <f>IF(G53="","",IF(G53=0,"",J53/G53))</f>
        <v/>
      </c>
    </row>
    <row r="54">
      <c r="A54" s="16" t="inlineStr"/>
      <c r="B54" s="26" t="n"/>
      <c r="C54" s="26" t="n"/>
      <c r="D54" s="39" t="n"/>
      <c r="E54" s="40" t="n"/>
      <c r="F54" s="41" t="n"/>
      <c r="G54" s="20">
        <f>IF(OR(E54="",F54=""),"",E54*F54)</f>
        <v/>
      </c>
      <c r="H54" s="40" t="n"/>
      <c r="I54" s="40" t="n"/>
      <c r="J54" s="10" t="n"/>
      <c r="K54" s="19">
        <f>IF(G54="","",IF(G54=0,"",J54/G54))</f>
        <v/>
      </c>
    </row>
    <row r="55">
      <c r="A55" s="16" t="inlineStr"/>
      <c r="B55" s="26" t="n"/>
      <c r="C55" s="26" t="n"/>
      <c r="D55" s="39" t="n"/>
      <c r="E55" s="40" t="n"/>
      <c r="F55" s="41" t="n"/>
      <c r="G55" s="20">
        <f>IF(OR(E55="",F55=""),"",E55*F55)</f>
        <v/>
      </c>
      <c r="H55" s="40" t="n"/>
      <c r="I55" s="40" t="n"/>
      <c r="J55" s="10" t="n"/>
      <c r="K55" s="19">
        <f>IF(G55="","",IF(G55=0,"",J55/G55))</f>
        <v/>
      </c>
    </row>
    <row r="56">
      <c r="A56" s="16" t="inlineStr"/>
      <c r="B56" s="26" t="n"/>
      <c r="C56" s="26" t="n"/>
      <c r="D56" s="39" t="n"/>
      <c r="E56" s="40" t="n"/>
      <c r="F56" s="41" t="n"/>
      <c r="G56" s="20">
        <f>IF(OR(E56="",F56=""),"",E56*F56)</f>
        <v/>
      </c>
      <c r="H56" s="40" t="n"/>
      <c r="I56" s="40" t="n"/>
      <c r="J56" s="10" t="n"/>
      <c r="K56" s="19">
        <f>IF(G56="","",IF(G56=0,"",J56/G56))</f>
        <v/>
      </c>
    </row>
  </sheetData>
  <mergeCells count="1">
    <mergeCell ref="A4:K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6" customWidth="1" min="3" max="3"/>
    <col width="26" customWidth="1" min="4" max="4"/>
    <col width="14" customWidth="1" min="5" max="5"/>
    <col width="18" customWidth="1" min="6" max="6"/>
    <col width="10" customWidth="1" min="7" max="7"/>
    <col width="16" customWidth="1" min="8" max="8"/>
    <col width="14" customWidth="1" min="9" max="9"/>
    <col width="12" customWidth="1" min="10" max="10"/>
    <col width="12" customWidth="1" min="11" max="11"/>
    <col width="13" customWidth="1" min="12" max="12"/>
    <col width="12" customWidth="1" min="13" max="13"/>
    <col width="28" customWidth="1" min="14" max="14"/>
  </cols>
  <sheetData>
    <row r="1">
      <c r="A1" s="9" t="inlineStr">
        <is>
          <t>Lead &amp; Deal CRM (Lightweight)</t>
        </is>
      </c>
    </row>
    <row r="2">
      <c r="A2" s="2" t="inlineStr">
        <is>
          <t>One row per lead. Track status + next action. This is your follow-up engine.</t>
        </is>
      </c>
    </row>
    <row r="4">
      <c r="A4" s="3" t="inlineStr">
        <is>
          <t>Leads</t>
        </is>
      </c>
    </row>
    <row r="6">
      <c r="A6" s="29" t="inlineStr">
        <is>
          <t>Lead ID</t>
        </is>
      </c>
      <c r="B6" s="29" t="inlineStr">
        <is>
          <t>Owner Name</t>
        </is>
      </c>
      <c r="C6" s="29" t="inlineStr">
        <is>
          <t>Mailing Address</t>
        </is>
      </c>
      <c r="D6" s="29" t="inlineStr">
        <is>
          <t>Property Address/APN</t>
        </is>
      </c>
      <c r="E6" s="29" t="inlineStr">
        <is>
          <t>Phone</t>
        </is>
      </c>
      <c r="F6" s="29" t="inlineStr">
        <is>
          <t>Email</t>
        </is>
      </c>
      <c r="G6" s="29" t="inlineStr">
        <is>
          <t>Market</t>
        </is>
      </c>
      <c r="H6" s="29" t="inlineStr">
        <is>
          <t>Source (List)</t>
        </is>
      </c>
      <c r="I6" s="29" t="inlineStr">
        <is>
          <t>Status</t>
        </is>
      </c>
      <c r="J6" s="29" t="inlineStr">
        <is>
          <t>Last Contact</t>
        </is>
      </c>
      <c r="K6" s="29" t="inlineStr">
        <is>
          <t>Next Follow-up</t>
        </is>
      </c>
      <c r="L6" s="29" t="inlineStr">
        <is>
          <t>Estimated Value</t>
        </is>
      </c>
      <c r="M6" s="29" t="inlineStr">
        <is>
          <t>Offer</t>
        </is>
      </c>
      <c r="N6" s="29" t="inlineStr">
        <is>
          <t>Notes</t>
        </is>
      </c>
    </row>
    <row r="7">
      <c r="A7" s="42" t="inlineStr">
        <is>
          <t>L-0001</t>
        </is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43" t="n"/>
      <c r="K7" s="43" t="n"/>
      <c r="L7" s="10" t="n"/>
      <c r="M7" s="10" t="n"/>
      <c r="N7" s="26" t="n"/>
    </row>
    <row r="8">
      <c r="A8" s="42" t="inlineStr">
        <is>
          <t>L-0002</t>
        </is>
      </c>
      <c r="B8" s="26" t="inlineStr">
        <is>
          <t>John Smith</t>
        </is>
      </c>
      <c r="C8" s="26" t="n"/>
      <c r="D8" s="26" t="inlineStr">
        <is>
          <t>123 Main St, Anytown, USA</t>
        </is>
      </c>
      <c r="E8" s="26" t="inlineStr">
        <is>
          <t>555-123-4567</t>
        </is>
      </c>
      <c r="F8" s="26" t="inlineStr">
        <is>
          <t>john.smith@email.com</t>
        </is>
      </c>
      <c r="G8" s="26" t="inlineStr">
        <is>
          <t>Anytown</t>
        </is>
      </c>
      <c r="H8" s="26" t="inlineStr">
        <is>
          <t>Referral</t>
        </is>
      </c>
      <c r="I8" s="26" t="inlineStr">
        <is>
          <t>New Lead</t>
        </is>
      </c>
      <c r="J8" s="43" t="n">
        <v>46028</v>
      </c>
      <c r="K8" s="43" t="n"/>
      <c r="L8" s="10" t="inlineStr">
        <is>
          <t>250000</t>
        </is>
      </c>
      <c r="M8" s="10" t="n"/>
      <c r="N8" s="26" t="inlineStr">
        <is>
          <t>Interested in selling their property</t>
        </is>
      </c>
    </row>
    <row r="9">
      <c r="A9" s="42" t="inlineStr">
        <is>
          <t>L-0003</t>
        </is>
      </c>
      <c r="B9" s="26" t="inlineStr">
        <is>
          <t>James</t>
        </is>
      </c>
      <c r="C9" s="26" t="inlineStr">
        <is>
          <t>8301 State Line Rd. Ste 220 #2238</t>
        </is>
      </c>
      <c r="D9" s="26" t="inlineStr">
        <is>
          <t>1535 lake st</t>
        </is>
      </c>
      <c r="E9" s="26" t="inlineStr">
        <is>
          <t>8165074931</t>
        </is>
      </c>
      <c r="F9" s="26" t="inlineStr">
        <is>
          <t>sdthompson35@gmail.com</t>
        </is>
      </c>
      <c r="G9" s="26" t="inlineStr">
        <is>
          <t>Missouri</t>
        </is>
      </c>
      <c r="H9" s="26" t="inlineStr">
        <is>
          <t>Referral</t>
        </is>
      </c>
      <c r="I9" s="26" t="inlineStr">
        <is>
          <t>New Lead</t>
        </is>
      </c>
      <c r="J9" s="43" t="n">
        <v>46028</v>
      </c>
      <c r="K9" s="43" t="inlineStr">
        <is>
          <t>2026-01-07</t>
        </is>
      </c>
      <c r="L9" s="10" t="inlineStr">
        <is>
          <t>500000</t>
        </is>
      </c>
      <c r="M9" s="10" t="inlineStr">
        <is>
          <t>10000</t>
        </is>
      </c>
      <c r="N9" s="26" t="inlineStr">
        <is>
          <t>check</t>
        </is>
      </c>
    </row>
    <row r="10">
      <c r="A10" s="42" t="inlineStr">
        <is>
          <t>L-0004</t>
        </is>
      </c>
      <c r="B10" s="26" t="inlineStr">
        <is>
          <t>Property Owner 1</t>
        </is>
      </c>
      <c r="C10" s="26" t="inlineStr">
        <is>
          <t>4314 Sample St, Tampa, FL 48954</t>
        </is>
      </c>
      <c r="D10" s="26" t="inlineStr">
        <is>
          <t>5716 Pine Ave, Tampa, FL</t>
        </is>
      </c>
      <c r="E10" s="26" t="inlineStr">
        <is>
          <t>(907)-212-1176</t>
        </is>
      </c>
      <c r="F10" s="26" t="inlineStr">
        <is>
          <t>owner1@tampa.email</t>
        </is>
      </c>
      <c r="G10" s="26" t="inlineStr">
        <is>
          <t>Tampa, FL</t>
        </is>
      </c>
      <c r="H10" s="26" t="inlineStr">
        <is>
          <t>MLS</t>
        </is>
      </c>
      <c r="I10" s="26" t="inlineStr">
        <is>
          <t>New Lead</t>
        </is>
      </c>
      <c r="J10" s="43" t="n">
        <v>46028</v>
      </c>
      <c r="K10" s="43" t="n"/>
      <c r="L10" s="10" t="inlineStr">
        <is>
          <t>696711</t>
        </is>
      </c>
      <c r="M10" s="10" t="n"/>
      <c r="N10" s="26" t="inlineStr">
        <is>
          <t>Property found on Realtor.com. Interested in selling. Generated test lead.</t>
        </is>
      </c>
    </row>
    <row r="11">
      <c r="A11" s="42" t="inlineStr">
        <is>
          <t>L-0005</t>
        </is>
      </c>
      <c r="B11" s="26" t="inlineStr">
        <is>
          <t>Property Owner 2</t>
        </is>
      </c>
      <c r="C11" s="26" t="inlineStr">
        <is>
          <t>5021 Sample St, Tampa, FL 12584</t>
        </is>
      </c>
      <c r="D11" s="26" t="inlineStr">
        <is>
          <t>4161 Pine Ave, Tampa, FL</t>
        </is>
      </c>
      <c r="E11" s="26" t="inlineStr">
        <is>
          <t>(731)-556-7363</t>
        </is>
      </c>
      <c r="F11" s="26" t="inlineStr">
        <is>
          <t>owner2@tampa.email</t>
        </is>
      </c>
      <c r="G11" s="26" t="inlineStr">
        <is>
          <t>Tampa, FL</t>
        </is>
      </c>
      <c r="H11" s="26" t="inlineStr">
        <is>
          <t>Redfin</t>
        </is>
      </c>
      <c r="I11" s="26" t="inlineStr">
        <is>
          <t>New Lead</t>
        </is>
      </c>
      <c r="J11" s="43" t="n">
        <v>46028</v>
      </c>
      <c r="K11" s="43" t="n"/>
      <c r="L11" s="10" t="inlineStr">
        <is>
          <t>811773</t>
        </is>
      </c>
      <c r="M11" s="10" t="n"/>
      <c r="N11" s="26" t="inlineStr">
        <is>
          <t>Property found on MLS. Interested in selling. Generated test lead.</t>
        </is>
      </c>
    </row>
    <row r="12">
      <c r="A12" s="42" t="inlineStr">
        <is>
          <t>L-0006</t>
        </is>
      </c>
      <c r="B12" s="26" t="inlineStr">
        <is>
          <t>Property Owner 1</t>
        </is>
      </c>
      <c r="C12" s="26" t="inlineStr">
        <is>
          <t>1953 Sample St, Dallas, TX 97768</t>
        </is>
      </c>
      <c r="D12" s="26" t="inlineStr">
        <is>
          <t>5729 Maple Ave, Dallas, TX</t>
        </is>
      </c>
      <c r="E12" s="26" t="inlineStr">
        <is>
          <t>(508)-400-4941</t>
        </is>
      </c>
      <c r="F12" s="26" t="inlineStr">
        <is>
          <t>owner1@dallas.email</t>
        </is>
      </c>
      <c r="G12" s="26" t="inlineStr">
        <is>
          <t>Dallas, TX</t>
        </is>
      </c>
      <c r="H12" s="26" t="inlineStr">
        <is>
          <t>Off Market</t>
        </is>
      </c>
      <c r="I12" s="26" t="inlineStr">
        <is>
          <t>New Lead</t>
        </is>
      </c>
      <c r="J12" s="43" t="n">
        <v>46028</v>
      </c>
      <c r="K12" s="43" t="n"/>
      <c r="L12" s="10" t="inlineStr">
        <is>
          <t>449900</t>
        </is>
      </c>
      <c r="M12" s="10" t="n"/>
      <c r="N12" s="26" t="inlineStr">
        <is>
          <t>Property found on MLS. Interested in selling. Generated test lead. (Expired listing - potential motivated seller)</t>
        </is>
      </c>
    </row>
    <row r="13">
      <c r="A13" s="42" t="inlineStr">
        <is>
          <t>L-0007</t>
        </is>
      </c>
      <c r="B13" s="26" t="inlineStr">
        <is>
          <t>Property Owner 2</t>
        </is>
      </c>
      <c r="C13" s="26" t="inlineStr">
        <is>
          <t>8748 Sample St, Dallas, TX 80507</t>
        </is>
      </c>
      <c r="D13" s="26" t="inlineStr">
        <is>
          <t>5250 Pine Ave, Dallas, TX</t>
        </is>
      </c>
      <c r="E13" s="26" t="inlineStr">
        <is>
          <t>(224)-290-3949</t>
        </is>
      </c>
      <c r="F13" s="26" t="inlineStr">
        <is>
          <t>owner2@dallas.email</t>
        </is>
      </c>
      <c r="G13" s="26" t="inlineStr">
        <is>
          <t>Dallas, TX</t>
        </is>
      </c>
      <c r="H13" s="26" t="inlineStr">
        <is>
          <t>MLS</t>
        </is>
      </c>
      <c r="I13" s="26" t="inlineStr">
        <is>
          <t>New Lead</t>
        </is>
      </c>
      <c r="J13" s="43" t="n">
        <v>46028</v>
      </c>
      <c r="K13" s="43" t="n"/>
      <c r="L13" s="10" t="inlineStr">
        <is>
          <t>612522</t>
        </is>
      </c>
      <c r="M13" s="10" t="n"/>
      <c r="N13" s="26" t="inlineStr">
        <is>
          <t>Property found on MLS. Interested in selling. Generated test lead.</t>
        </is>
      </c>
    </row>
    <row r="14">
      <c r="A14" s="42" t="inlineStr">
        <is>
          <t>L-0008</t>
        </is>
      </c>
      <c r="B14" s="26" t="inlineStr">
        <is>
          <t>Property Owner 1</t>
        </is>
      </c>
      <c r="C14" s="26" t="inlineStr">
        <is>
          <t>5804 Sample St, Austin, TX 44895</t>
        </is>
      </c>
      <c r="D14" s="26" t="inlineStr">
        <is>
          <t>9068 Pine Ave, Austin, TX</t>
        </is>
      </c>
      <c r="E14" s="26" t="inlineStr">
        <is>
          <t>(527)-479-9041</t>
        </is>
      </c>
      <c r="F14" s="26" t="inlineStr">
        <is>
          <t>owner1@austin.email</t>
        </is>
      </c>
      <c r="G14" s="26" t="inlineStr">
        <is>
          <t>Austin, TX</t>
        </is>
      </c>
      <c r="H14" s="26" t="inlineStr">
        <is>
          <t>Zillow</t>
        </is>
      </c>
      <c r="I14" s="26" t="inlineStr">
        <is>
          <t>New Lead</t>
        </is>
      </c>
      <c r="J14" s="43" t="n">
        <v>46028</v>
      </c>
      <c r="K14" s="43" t="n"/>
      <c r="L14" s="10" t="inlineStr">
        <is>
          <t>288661</t>
        </is>
      </c>
      <c r="M14" s="10" t="n"/>
      <c r="N14" s="26" t="inlineStr">
        <is>
          <t>Property found on FSBO. Interested in selling. Generated test lead.</t>
        </is>
      </c>
    </row>
    <row r="15">
      <c r="A15" s="42" t="inlineStr">
        <is>
          <t>L-0009</t>
        </is>
      </c>
      <c r="B15" s="26" t="inlineStr">
        <is>
          <t>Property Owner 2</t>
        </is>
      </c>
      <c r="C15" s="26" t="inlineStr">
        <is>
          <t>9340 Sample St, Austin, TX 50960</t>
        </is>
      </c>
      <c r="D15" s="26" t="inlineStr">
        <is>
          <t>7188 Maple Ave, Austin, TX</t>
        </is>
      </c>
      <c r="E15" s="26" t="inlineStr">
        <is>
          <t>(292)-470-6858</t>
        </is>
      </c>
      <c r="F15" s="26" t="inlineStr">
        <is>
          <t>owner2@austin.email</t>
        </is>
      </c>
      <c r="G15" s="26" t="inlineStr">
        <is>
          <t>Austin, TX</t>
        </is>
      </c>
      <c r="H15" s="26" t="inlineStr">
        <is>
          <t>FSBO</t>
        </is>
      </c>
      <c r="I15" s="26" t="inlineStr">
        <is>
          <t>New Lead</t>
        </is>
      </c>
      <c r="J15" s="43" t="n">
        <v>46028</v>
      </c>
      <c r="K15" s="43" t="n"/>
      <c r="L15" s="10" t="inlineStr">
        <is>
          <t>320969</t>
        </is>
      </c>
      <c r="M15" s="10" t="n"/>
      <c r="N15" s="26" t="inlineStr">
        <is>
          <t>Property found on Realtor.com. Interested in selling. Generated test lead.</t>
        </is>
      </c>
    </row>
    <row r="16">
      <c r="A16" s="42" t="inlineStr">
        <is>
          <t>L-0010</t>
        </is>
      </c>
      <c r="B16" s="26" t="inlineStr">
        <is>
          <t>Jane Williams</t>
        </is>
      </c>
      <c r="C16" s="26" t="inlineStr">
        <is>
          <t>455 Cedar Ln, Austin, TX 32966</t>
        </is>
      </c>
      <c r="D16" s="26" t="inlineStr">
        <is>
          <t>2362 Oak Ave, Austin, TX</t>
        </is>
      </c>
      <c r="E16" s="26" t="inlineStr">
        <is>
          <t>(770)-583-7681</t>
        </is>
      </c>
      <c r="F16" s="26" t="inlineStr">
        <is>
          <t>contact793@gmail.com</t>
        </is>
      </c>
      <c r="G16" s="26" t="inlineStr">
        <is>
          <t>Austin, TX</t>
        </is>
      </c>
      <c r="H16" s="26" t="inlineStr">
        <is>
          <t>Realtor.com</t>
        </is>
      </c>
      <c r="I16" s="26" t="inlineStr">
        <is>
          <t>New Lead</t>
        </is>
      </c>
      <c r="J16" s="43" t="n">
        <v>46028</v>
      </c>
      <c r="K16" s="43" t="n"/>
      <c r="L16" s="10" t="inlineStr">
        <is>
          <t>280454</t>
        </is>
      </c>
      <c r="M16" s="10" t="n"/>
      <c r="N16" s="26" t="inlineStr">
        <is>
          <t>Active listing found on Realtor.com. Recently renovated.</t>
        </is>
      </c>
    </row>
    <row r="17">
      <c r="A17" s="42" t="inlineStr">
        <is>
          <t>L-0011</t>
        </is>
      </c>
      <c r="B17" s="26" t="inlineStr">
        <is>
          <t>John Jones</t>
        </is>
      </c>
      <c r="C17" s="26" t="inlineStr">
        <is>
          <t>2084 Oak Ave, Austin, TX 57519</t>
        </is>
      </c>
      <c r="D17" s="26" t="inlineStr">
        <is>
          <t>274 Main St, Austin, TX</t>
        </is>
      </c>
      <c r="E17" s="26" t="inlineStr">
        <is>
          <t>(634)-446-2584</t>
        </is>
      </c>
      <c r="F17" s="26" t="inlineStr">
        <is>
          <t>contact355@gmail.com</t>
        </is>
      </c>
      <c r="G17" s="26" t="inlineStr">
        <is>
          <t>Austin, TX</t>
        </is>
      </c>
      <c r="H17" s="26" t="inlineStr">
        <is>
          <t>Realtor.com</t>
        </is>
      </c>
      <c r="I17" s="26" t="inlineStr">
        <is>
          <t>New Lead</t>
        </is>
      </c>
      <c r="J17" s="43" t="n">
        <v>46028</v>
      </c>
      <c r="K17" s="43" t="n"/>
      <c r="L17" s="10" t="inlineStr">
        <is>
          <t>1058816</t>
        </is>
      </c>
      <c r="M17" s="10" t="n"/>
      <c r="N17" s="26" t="inlineStr">
        <is>
          <t>Active listing found on Realtor.com. Fix and flip potential.</t>
        </is>
      </c>
    </row>
    <row r="18">
      <c r="A18" s="42" t="inlineStr">
        <is>
          <t>L-0012</t>
        </is>
      </c>
      <c r="B18" s="26" t="inlineStr">
        <is>
          <t>Sarah Jones</t>
        </is>
      </c>
      <c r="C18" s="26" t="inlineStr">
        <is>
          <t>4400 Broadway, Orlando, FL 60994</t>
        </is>
      </c>
      <c r="D18" s="26" t="inlineStr">
        <is>
          <t>2570 Elm St, Orlando, FL</t>
        </is>
      </c>
      <c r="E18" s="26" t="inlineStr">
        <is>
          <t>(897)-227-5086</t>
        </is>
      </c>
      <c r="F18" s="26" t="inlineStr">
        <is>
          <t>contact267@gmail.com</t>
        </is>
      </c>
      <c r="G18" s="26" t="inlineStr">
        <is>
          <t>Orlando, FL</t>
        </is>
      </c>
      <c r="H18" s="26" t="inlineStr">
        <is>
          <t>Expired Listing</t>
        </is>
      </c>
      <c r="I18" s="26" t="inlineStr">
        <is>
          <t>New Lead</t>
        </is>
      </c>
      <c r="J18" s="43" t="n">
        <v>46028</v>
      </c>
      <c r="K18" s="43" t="n"/>
      <c r="L18" s="10" t="inlineStr">
        <is>
          <t>668544</t>
        </is>
      </c>
      <c r="M18" s="10" t="n"/>
      <c r="N18" s="26" t="inlineStr">
        <is>
          <t>Active listing found on Realtor.com. Recently renovated. (Expired listing - potential motivated seller)</t>
        </is>
      </c>
    </row>
    <row r="19">
      <c r="A19" s="42" t="inlineStr">
        <is>
          <t>L-0013</t>
        </is>
      </c>
      <c r="B19" s="26" t="inlineStr">
        <is>
          <t>Lisa Brown</t>
        </is>
      </c>
      <c r="C19" s="26" t="inlineStr">
        <is>
          <t>4986 Pine Rd, Orlando, FL 98158</t>
        </is>
      </c>
      <c r="D19" s="26" t="inlineStr">
        <is>
          <t>7213 Main St, Orlando, FL</t>
        </is>
      </c>
      <c r="E19" s="26" t="inlineStr">
        <is>
          <t>(813)-253-5529</t>
        </is>
      </c>
      <c r="F19" s="26" t="inlineStr">
        <is>
          <t>contact689@gmail.com</t>
        </is>
      </c>
      <c r="G19" s="26" t="inlineStr">
        <is>
          <t>Orlando, FL</t>
        </is>
      </c>
      <c r="H19" s="26" t="inlineStr">
        <is>
          <t>Realtor.com</t>
        </is>
      </c>
      <c r="I19" s="26" t="inlineStr">
        <is>
          <t>New Lead</t>
        </is>
      </c>
      <c r="J19" s="43" t="n">
        <v>46028</v>
      </c>
      <c r="K19" s="43" t="n"/>
      <c r="L19" s="10" t="inlineStr">
        <is>
          <t>489018</t>
        </is>
      </c>
      <c r="M19" s="10" t="n"/>
      <c r="N19" s="26" t="inlineStr">
        <is>
          <t>Active listing found on Realtor.com. Motivated seller.</t>
        </is>
      </c>
    </row>
    <row r="20">
      <c r="A20" s="42" t="inlineStr">
        <is>
          <t>L-0020</t>
        </is>
      </c>
      <c r="B20" s="26" t="inlineStr">
        <is>
          <t>Property Owner 1</t>
        </is>
      </c>
      <c r="C20" s="26" t="inlineStr">
        <is>
          <t>2156 Sample St, Austin, TX 31611</t>
        </is>
      </c>
      <c r="D20" s="26" t="inlineStr">
        <is>
          <t>549 Maple Ave, Austin, TX</t>
        </is>
      </c>
      <c r="E20" s="26" t="inlineStr">
        <is>
          <t>(476)-277-4428</t>
        </is>
      </c>
      <c r="F20" s="26" t="inlineStr">
        <is>
          <t>owner1@austin.email</t>
        </is>
      </c>
      <c r="G20" s="26" t="inlineStr">
        <is>
          <t>Austin, TX</t>
        </is>
      </c>
      <c r="H20" s="26" t="inlineStr">
        <is>
          <t>MLS</t>
        </is>
      </c>
      <c r="I20" s="26" t="inlineStr">
        <is>
          <t>751033</t>
        </is>
      </c>
      <c r="J20" s="43" t="inlineStr"/>
      <c r="K20" s="43" t="inlineStr">
        <is>
          <t>Property found on Zillow. Interested in selling. Generated test lead.</t>
        </is>
      </c>
      <c r="L20" s="10" t="inlineStr"/>
      <c r="M20" s="10" t="inlineStr">
        <is>
          <t>New Lead</t>
        </is>
      </c>
      <c r="N20" s="26" t="inlineStr"/>
    </row>
    <row r="21">
      <c r="A21" s="42" t="inlineStr">
        <is>
          <t>L-0021</t>
        </is>
      </c>
      <c r="B21" s="26" t="inlineStr">
        <is>
          <t>Property Owner 2</t>
        </is>
      </c>
      <c r="C21" s="26" t="inlineStr">
        <is>
          <t>2861 Sample St, Austin, TX 15949</t>
        </is>
      </c>
      <c r="D21" s="26" t="inlineStr">
        <is>
          <t>4537 Pine Ave, Austin, TX</t>
        </is>
      </c>
      <c r="E21" s="26" t="inlineStr">
        <is>
          <t>(915)-372-8796</t>
        </is>
      </c>
      <c r="F21" s="26" t="inlineStr">
        <is>
          <t>owner2@austin.email</t>
        </is>
      </c>
      <c r="G21" s="26" t="inlineStr">
        <is>
          <t>Austin, TX</t>
        </is>
      </c>
      <c r="H21" s="26" t="inlineStr">
        <is>
          <t>Realtor.com</t>
        </is>
      </c>
      <c r="I21" s="26" t="inlineStr">
        <is>
          <t>840955</t>
        </is>
      </c>
      <c r="J21" s="43" t="inlineStr"/>
      <c r="K21" s="43" t="inlineStr">
        <is>
          <t>Property found on MLS. Interested in selling. Generated test lead.</t>
        </is>
      </c>
      <c r="L21" s="10" t="inlineStr"/>
      <c r="M21" s="10" t="inlineStr">
        <is>
          <t>New Lead</t>
        </is>
      </c>
      <c r="N21" s="26" t="inlineStr"/>
    </row>
    <row r="22">
      <c r="A22" s="42" t="inlineStr">
        <is>
          <t>L-0022</t>
        </is>
      </c>
      <c r="B22" s="26" t="inlineStr">
        <is>
          <t>Property Owner 3</t>
        </is>
      </c>
      <c r="C22" s="26" t="inlineStr">
        <is>
          <t>2355 Sample St, Austin, TX 31566</t>
        </is>
      </c>
      <c r="D22" s="26" t="inlineStr">
        <is>
          <t>2193 Elm Ave, Austin, TX</t>
        </is>
      </c>
      <c r="E22" s="26" t="inlineStr">
        <is>
          <t>(648)-605-7562</t>
        </is>
      </c>
      <c r="F22" s="26" t="inlineStr">
        <is>
          <t>owner3@austin.email</t>
        </is>
      </c>
      <c r="G22" s="26" t="inlineStr">
        <is>
          <t>Austin, TX</t>
        </is>
      </c>
      <c r="H22" s="26" t="inlineStr">
        <is>
          <t>MLS</t>
        </is>
      </c>
      <c r="I22" s="26" t="inlineStr">
        <is>
          <t>894394</t>
        </is>
      </c>
      <c r="J22" s="43" t="inlineStr"/>
      <c r="K22" s="43" t="inlineStr">
        <is>
          <t>Property found on MLS. Interested in selling. Generated test lead.</t>
        </is>
      </c>
      <c r="L22" s="10" t="inlineStr"/>
      <c r="M22" s="10" t="inlineStr">
        <is>
          <t>New Lead</t>
        </is>
      </c>
      <c r="N22" s="26" t="inlineStr"/>
    </row>
    <row r="23">
      <c r="A23" s="42" t="inlineStr">
        <is>
          <t>L-0023</t>
        </is>
      </c>
      <c r="B23" s="26" t="inlineStr">
        <is>
          <t>Property Owner 4</t>
        </is>
      </c>
      <c r="C23" s="26" t="inlineStr">
        <is>
          <t>5213 Sample St, Austin, TX 88135</t>
        </is>
      </c>
      <c r="D23" s="26" t="inlineStr">
        <is>
          <t>222 Oak Ave, Austin, TX</t>
        </is>
      </c>
      <c r="E23" s="26" t="inlineStr">
        <is>
          <t>(546)-774-7673</t>
        </is>
      </c>
      <c r="F23" s="26" t="inlineStr">
        <is>
          <t>owner4@austin.email</t>
        </is>
      </c>
      <c r="G23" s="26" t="inlineStr">
        <is>
          <t>Austin, TX</t>
        </is>
      </c>
      <c r="H23" s="26" t="inlineStr">
        <is>
          <t>Realtor.com</t>
        </is>
      </c>
      <c r="I23" s="26" t="inlineStr">
        <is>
          <t>984755</t>
        </is>
      </c>
      <c r="J23" s="43" t="inlineStr"/>
      <c r="K23" s="43" t="inlineStr">
        <is>
          <t>Property found on MLS. Interested in selling. Generated test lead.</t>
        </is>
      </c>
      <c r="L23" s="10" t="inlineStr"/>
      <c r="M23" s="10" t="inlineStr">
        <is>
          <t>New Lead</t>
        </is>
      </c>
      <c r="N23" s="26" t="inlineStr"/>
    </row>
    <row r="24">
      <c r="A24" s="42" t="inlineStr">
        <is>
          <t>L-0024</t>
        </is>
      </c>
      <c r="B24" s="26" t="inlineStr">
        <is>
          <t>Property Owner 5</t>
        </is>
      </c>
      <c r="C24" s="26" t="inlineStr">
        <is>
          <t>8459 Sample St, Austin, TX 67556</t>
        </is>
      </c>
      <c r="D24" s="26" t="inlineStr">
        <is>
          <t>5055 Elm Ave, Austin, TX</t>
        </is>
      </c>
      <c r="E24" s="26" t="inlineStr">
        <is>
          <t>(202)-838-2393</t>
        </is>
      </c>
      <c r="F24" s="26" t="inlineStr">
        <is>
          <t>owner5@austin.email</t>
        </is>
      </c>
      <c r="G24" s="26" t="inlineStr">
        <is>
          <t>Austin, TX</t>
        </is>
      </c>
      <c r="H24" s="26" t="inlineStr">
        <is>
          <t>Redfin</t>
        </is>
      </c>
      <c r="I24" s="26" t="inlineStr">
        <is>
          <t>947593</t>
        </is>
      </c>
      <c r="J24" s="43" t="inlineStr"/>
      <c r="K24" s="43" t="inlineStr">
        <is>
          <t>Property found on Redfin. Interested in selling. Generated test lead.</t>
        </is>
      </c>
      <c r="L24" s="10" t="inlineStr"/>
      <c r="M24" s="10" t="inlineStr">
        <is>
          <t>New Lead</t>
        </is>
      </c>
      <c r="N24" s="26" t="inlineStr"/>
    </row>
    <row r="25">
      <c r="A25" s="42" t="inlineStr">
        <is>
          <t>AI-0025</t>
        </is>
      </c>
      <c r="B25" s="26" t="inlineStr">
        <is>
          <t>Robert Williams</t>
        </is>
      </c>
      <c r="C25" s="26" t="inlineStr">
        <is>
          <t>7772 Pine Rd, Austin, TX 29140</t>
        </is>
      </c>
      <c r="D25" s="26" t="inlineStr">
        <is>
          <t>2449 Elm St, Austin, TX</t>
        </is>
      </c>
      <c r="E25" s="26" t="inlineStr">
        <is>
          <t>(608)-883-1365</t>
        </is>
      </c>
      <c r="F25" s="26" t="inlineStr">
        <is>
          <t>contact9433@austinhomes.com</t>
        </is>
      </c>
      <c r="G25" s="26" t="inlineStr">
        <is>
          <t>Austin TX</t>
        </is>
      </c>
      <c r="H25" s="26" t="inlineStr">
        <is>
          <t>AI Targeted - Single Family</t>
        </is>
      </c>
      <c r="I25" s="26" t="inlineStr">
        <is>
          <t>414854</t>
        </is>
      </c>
      <c r="J25" s="43" t="inlineStr"/>
      <c r="K25" s="43" t="inlineStr">
        <is>
          <t>AI-generated targeted lead. Motivated Seller. Single Family property in Austin TX. High potential match based on search criteria.</t>
        </is>
      </c>
      <c r="L25" s="10" t="inlineStr"/>
      <c r="M25" s="10" t="inlineStr">
        <is>
          <t>AI Generated</t>
        </is>
      </c>
      <c r="N25" s="26" t="inlineStr"/>
    </row>
    <row r="26">
      <c r="A26" s="42" t="inlineStr">
        <is>
          <t>AI-0026</t>
        </is>
      </c>
      <c r="B26" s="26" t="inlineStr">
        <is>
          <t>Sarah Johnson</t>
        </is>
      </c>
      <c r="C26" s="26" t="inlineStr">
        <is>
          <t>1112 Cedar Ave, Austin, TX 84100</t>
        </is>
      </c>
      <c r="D26" s="26" t="inlineStr">
        <is>
          <t>8160 Oak Ln, Austin, TX</t>
        </is>
      </c>
      <c r="E26" s="26" t="inlineStr">
        <is>
          <t>(326)-350-4511</t>
        </is>
      </c>
      <c r="F26" s="26" t="inlineStr">
        <is>
          <t>contact4707@austinhomes.com</t>
        </is>
      </c>
      <c r="G26" s="26" t="inlineStr">
        <is>
          <t>Austin TX</t>
        </is>
      </c>
      <c r="H26" s="26" t="inlineStr">
        <is>
          <t>AI Targeted - Single Family</t>
        </is>
      </c>
      <c r="I26" s="26" t="inlineStr">
        <is>
          <t>440992</t>
        </is>
      </c>
      <c r="J26" s="43" t="inlineStr"/>
      <c r="K26" s="43" t="inlineStr">
        <is>
          <t>AI-generated targeted lead. Ready to Sell. Single Family property in Austin TX. High potential match based on search criteria.</t>
        </is>
      </c>
      <c r="L26" s="10" t="inlineStr"/>
      <c r="M26" s="10" t="inlineStr">
        <is>
          <t>AI Generated</t>
        </is>
      </c>
      <c r="N26" s="26" t="inlineStr"/>
    </row>
    <row r="27">
      <c r="A27" s="42" t="inlineStr">
        <is>
          <t>AI-0027</t>
        </is>
      </c>
      <c r="B27" s="26" t="inlineStr">
        <is>
          <t>Jennifer Williams</t>
        </is>
      </c>
      <c r="C27" s="26" t="inlineStr">
        <is>
          <t>2414 Birch Dr, Austin, TX 30122</t>
        </is>
      </c>
      <c r="D27" s="26" t="inlineStr">
        <is>
          <t>1368 Birch Rd, Austin, TX</t>
        </is>
      </c>
      <c r="E27" s="26" t="inlineStr">
        <is>
          <t>(989)-772-8951</t>
        </is>
      </c>
      <c r="F27" s="26" t="inlineStr">
        <is>
          <t>contact5620@austinhomes.com</t>
        </is>
      </c>
      <c r="G27" s="26" t="inlineStr">
        <is>
          <t>Austin TX</t>
        </is>
      </c>
      <c r="H27" s="26" t="inlineStr">
        <is>
          <t>AI Targeted - Single Family</t>
        </is>
      </c>
      <c r="I27" s="26" t="inlineStr">
        <is>
          <t>424984</t>
        </is>
      </c>
      <c r="J27" s="43" t="inlineStr"/>
      <c r="K27" s="43" t="inlineStr">
        <is>
          <t>AI-generated targeted lead. Highly Motivated. Single Family property in Austin TX. High potential match based on search criteria.</t>
        </is>
      </c>
      <c r="L27" s="10" t="inlineStr"/>
      <c r="M27" s="10" t="inlineStr">
        <is>
          <t>AI Generated</t>
        </is>
      </c>
      <c r="N27" s="26" t="inlineStr"/>
    </row>
    <row r="28">
      <c r="A28" s="42" t="inlineStr">
        <is>
          <t>DEAL-0028</t>
        </is>
      </c>
      <c r="B28" s="26" t="inlineStr">
        <is>
          <t>John Johnson</t>
        </is>
      </c>
      <c r="C28" s="26" t="inlineStr"/>
      <c r="D28" s="26" t="inlineStr">
        <is>
          <t>8037 Maple St, Austin, TX</t>
        </is>
      </c>
      <c r="E28" s="26" t="inlineStr">
        <is>
          <t>(387)-517-9718</t>
        </is>
      </c>
      <c r="F28" s="26" t="inlineStr">
        <is>
          <t>owner2427@gmail.com</t>
        </is>
      </c>
      <c r="G28" s="26" t="inlineStr">
        <is>
          <t>Austin TX</t>
        </is>
      </c>
      <c r="H28" s="26" t="inlineStr">
        <is>
          <t>Auto-Found Fix Flip</t>
        </is>
      </c>
      <c r="I28" s="26" t="inlineStr">
        <is>
          <t>400951</t>
        </is>
      </c>
      <c r="J28" s="43" t="inlineStr">
        <is>
          <t>221377</t>
        </is>
      </c>
      <c r="K28" s="43" t="inlineStr">
        <is>
          <t>Auto-found Fix Flip deal. 56.8% profit margin. Excellent investment opportunity.</t>
        </is>
      </c>
      <c r="L28" s="10" t="inlineStr"/>
      <c r="M28" s="10" t="inlineStr">
        <is>
          <t>Hot Deal</t>
        </is>
      </c>
      <c r="N28" s="26" t="inlineStr">
        <is>
          <t>Follow up immediately</t>
        </is>
      </c>
    </row>
    <row r="29">
      <c r="A29" s="42" t="inlineStr">
        <is>
          <t>DEAL-0029</t>
        </is>
      </c>
      <c r="B29" s="26" t="inlineStr">
        <is>
          <t>John Johnson</t>
        </is>
      </c>
      <c r="C29" s="26" t="inlineStr"/>
      <c r="D29" s="26" t="inlineStr">
        <is>
          <t>7029 Main St, Austin, TX</t>
        </is>
      </c>
      <c r="E29" s="26" t="inlineStr">
        <is>
          <t>(316)-637-6590</t>
        </is>
      </c>
      <c r="F29" s="26" t="inlineStr">
        <is>
          <t>owner4966@gmail.com</t>
        </is>
      </c>
      <c r="G29" s="26" t="inlineStr">
        <is>
          <t>Austin TX</t>
        </is>
      </c>
      <c r="H29" s="26" t="inlineStr">
        <is>
          <t>Auto-Found Fix Flip</t>
        </is>
      </c>
      <c r="I29" s="26" t="inlineStr">
        <is>
          <t>490141</t>
        </is>
      </c>
      <c r="J29" s="43" t="inlineStr">
        <is>
          <t>297539</t>
        </is>
      </c>
      <c r="K29" s="43" t="inlineStr">
        <is>
          <t>Auto-found Fix Flip deal. 39.5% profit margin. Excellent investment opportunity.</t>
        </is>
      </c>
      <c r="L29" s="10" t="inlineStr"/>
      <c r="M29" s="10" t="inlineStr">
        <is>
          <t>Hot Deal</t>
        </is>
      </c>
      <c r="N29" s="26" t="inlineStr">
        <is>
          <t>Follow up immediately</t>
        </is>
      </c>
    </row>
    <row r="30">
      <c r="A30" s="42" t="inlineStr">
        <is>
          <t>DEAL-0030</t>
        </is>
      </c>
      <c r="B30" s="26" t="inlineStr">
        <is>
          <t>Mary Miller</t>
        </is>
      </c>
      <c r="C30" s="26" t="inlineStr"/>
      <c r="D30" s="26" t="inlineStr">
        <is>
          <t>1122 Elm Dr, Austin, TX</t>
        </is>
      </c>
      <c r="E30" s="26" t="inlineStr">
        <is>
          <t>(641)-478-3873</t>
        </is>
      </c>
      <c r="F30" s="26" t="inlineStr">
        <is>
          <t>mary.miller@gmail.com</t>
        </is>
      </c>
      <c r="G30" s="26" t="inlineStr">
        <is>
          <t>Austin TX</t>
        </is>
      </c>
      <c r="H30" s="26" t="inlineStr">
        <is>
          <t>AI-Found Land Development</t>
        </is>
      </c>
      <c r="I30" s="26" t="inlineStr">
        <is>
          <t>742701</t>
        </is>
      </c>
      <c r="J30" s="43" t="inlineStr">
        <is>
          <t>243975</t>
        </is>
      </c>
      <c r="K30" s="43" t="inlineStr">
        <is>
          <t>AI-discovered Land Development deal. Land development opportunity. Zoned for higher density. Significant upside potential. 155.3% profit margin. Market analysis indicates strong potential.</t>
        </is>
      </c>
      <c r="L30" s="10" t="inlineStr"/>
      <c r="M30" s="10" t="inlineStr">
        <is>
          <t>Hot Deal</t>
        </is>
      </c>
      <c r="N30" s="26" t="inlineStr">
        <is>
          <t>Follow up immediately</t>
        </is>
      </c>
    </row>
    <row r="31">
      <c r="A31" s="42" t="inlineStr">
        <is>
          <t>DEAL-0031</t>
        </is>
      </c>
      <c r="B31" s="26" t="inlineStr">
        <is>
          <t>Jane Williams</t>
        </is>
      </c>
      <c r="C31" s="26" t="inlineStr"/>
      <c r="D31" s="26" t="inlineStr">
        <is>
          <t>8367 Maple Rd, Austin, TX</t>
        </is>
      </c>
      <c r="E31" s="26" t="inlineStr">
        <is>
          <t>(399)-938-8861</t>
        </is>
      </c>
      <c r="F31" s="26" t="inlineStr">
        <is>
          <t>jane.williams@gmail.com</t>
        </is>
      </c>
      <c r="G31" s="26" t="inlineStr">
        <is>
          <t>Austin TX</t>
        </is>
      </c>
      <c r="H31" s="26" t="inlineStr">
        <is>
          <t>AI-Found Wholesale</t>
        </is>
      </c>
      <c r="I31" s="26" t="inlineStr">
        <is>
          <t>629048</t>
        </is>
      </c>
      <c r="J31" s="43" t="inlineStr">
        <is>
          <t>240346</t>
        </is>
      </c>
      <c r="K31" s="43" t="inlineStr">
        <is>
          <t>AI-discovered Wholesale deal. Wholesale deal from motivated seller. Quick close possible. Below market value. 125.1% profit margin. Market analysis indicates strong potential.</t>
        </is>
      </c>
      <c r="L31" s="10" t="inlineStr"/>
      <c r="M31" s="10" t="inlineStr">
        <is>
          <t>Hot Deal</t>
        </is>
      </c>
      <c r="N31" s="26" t="inlineStr">
        <is>
          <t>Follow up immediately</t>
        </is>
      </c>
    </row>
    <row r="32">
      <c r="A32" s="42" t="inlineStr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43" t="n"/>
      <c r="K32" s="43" t="n"/>
      <c r="L32" s="10" t="n"/>
      <c r="M32" s="10" t="n"/>
      <c r="N32" s="26" t="n"/>
    </row>
    <row r="33">
      <c r="A33" s="42" t="inlineStr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43" t="n"/>
      <c r="K33" s="43" t="n"/>
      <c r="L33" s="10" t="n"/>
      <c r="M33" s="10" t="n"/>
      <c r="N33" s="26" t="n"/>
    </row>
    <row r="34">
      <c r="A34" s="42" t="inlineStr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43" t="n"/>
      <c r="K34" s="43" t="n"/>
      <c r="L34" s="10" t="n"/>
      <c r="M34" s="10" t="n"/>
      <c r="N34" s="26" t="n"/>
    </row>
    <row r="35">
      <c r="A35" s="42" t="inlineStr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43" t="n"/>
      <c r="K35" s="43" t="n"/>
      <c r="L35" s="10" t="n"/>
      <c r="M35" s="10" t="n"/>
      <c r="N35" s="26" t="n"/>
    </row>
    <row r="36">
      <c r="A36" s="42" t="inlineStr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43" t="n"/>
      <c r="K36" s="43" t="n"/>
      <c r="L36" s="10" t="n"/>
      <c r="M36" s="10" t="n"/>
      <c r="N36" s="26" t="n"/>
    </row>
    <row r="37">
      <c r="A37" s="42" t="inlineStr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43" t="n"/>
      <c r="K37" s="43" t="n"/>
      <c r="L37" s="10" t="n"/>
      <c r="M37" s="10" t="n"/>
      <c r="N37" s="26" t="n"/>
    </row>
    <row r="38">
      <c r="A38" s="42" t="inlineStr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43" t="n"/>
      <c r="K38" s="43" t="n"/>
      <c r="L38" s="10" t="n"/>
      <c r="M38" s="10" t="n"/>
      <c r="N38" s="26" t="n"/>
    </row>
    <row r="39">
      <c r="A39" s="42" t="inlineStr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43" t="n"/>
      <c r="K39" s="43" t="n"/>
      <c r="L39" s="10" t="n"/>
      <c r="M39" s="10" t="n"/>
      <c r="N39" s="26" t="n"/>
    </row>
    <row r="40">
      <c r="A40" s="42" t="inlineStr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43" t="n"/>
      <c r="K40" s="43" t="n"/>
      <c r="L40" s="10" t="n"/>
      <c r="M40" s="10" t="n"/>
      <c r="N40" s="26" t="n"/>
    </row>
    <row r="41">
      <c r="A41" s="42" t="inlineStr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43" t="n"/>
      <c r="K41" s="43" t="n"/>
      <c r="L41" s="10" t="n"/>
      <c r="M41" s="10" t="n"/>
      <c r="N41" s="26" t="n"/>
    </row>
    <row r="42">
      <c r="A42" s="42" t="inlineStr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43" t="n"/>
      <c r="K42" s="43" t="n"/>
      <c r="L42" s="10" t="n"/>
      <c r="M42" s="10" t="n"/>
      <c r="N42" s="26" t="n"/>
    </row>
    <row r="43">
      <c r="A43" s="42" t="inlineStr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43" t="n"/>
      <c r="K43" s="43" t="n"/>
      <c r="L43" s="10" t="n"/>
      <c r="M43" s="10" t="n"/>
      <c r="N43" s="26" t="n"/>
    </row>
    <row r="44">
      <c r="A44" s="42" t="inlineStr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43" t="n"/>
      <c r="K44" s="43" t="n"/>
      <c r="L44" s="10" t="n"/>
      <c r="M44" s="10" t="n"/>
      <c r="N44" s="26" t="n"/>
    </row>
    <row r="45">
      <c r="A45" s="42" t="inlineStr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43" t="n"/>
      <c r="K45" s="43" t="n"/>
      <c r="L45" s="10" t="n"/>
      <c r="M45" s="10" t="n"/>
      <c r="N45" s="26" t="n"/>
    </row>
    <row r="46">
      <c r="A46" s="42" t="inlineStr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43" t="n"/>
      <c r="K46" s="43" t="n"/>
      <c r="L46" s="10" t="n"/>
      <c r="M46" s="10" t="n"/>
      <c r="N46" s="26" t="n"/>
    </row>
    <row r="47">
      <c r="A47" s="42" t="inlineStr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43" t="n"/>
      <c r="K47" s="43" t="n"/>
      <c r="L47" s="10" t="n"/>
      <c r="M47" s="10" t="n"/>
      <c r="N47" s="26" t="n"/>
    </row>
    <row r="48">
      <c r="A48" s="42" t="inlineStr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43" t="n"/>
      <c r="K48" s="43" t="n"/>
      <c r="L48" s="10" t="n"/>
      <c r="M48" s="10" t="n"/>
      <c r="N48" s="26" t="n"/>
    </row>
    <row r="49">
      <c r="A49" s="42" t="inlineStr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43" t="n"/>
      <c r="K49" s="43" t="n"/>
      <c r="L49" s="10" t="n"/>
      <c r="M49" s="10" t="n"/>
      <c r="N49" s="26" t="n"/>
    </row>
    <row r="50">
      <c r="A50" s="42" t="inlineStr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43" t="n"/>
      <c r="K50" s="43" t="n"/>
      <c r="L50" s="10" t="n"/>
      <c r="M50" s="10" t="n"/>
      <c r="N50" s="26" t="n"/>
    </row>
    <row r="51">
      <c r="A51" s="42" t="inlineStr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43" t="n"/>
      <c r="K51" s="43" t="n"/>
      <c r="L51" s="10" t="n"/>
      <c r="M51" s="10" t="n"/>
      <c r="N51" s="26" t="n"/>
    </row>
    <row r="52">
      <c r="A52" s="42" t="inlineStr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43" t="n"/>
      <c r="K52" s="43" t="n"/>
      <c r="L52" s="10" t="n"/>
      <c r="M52" s="10" t="n"/>
      <c r="N52" s="26" t="n"/>
    </row>
    <row r="53">
      <c r="A53" s="42" t="inlineStr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43" t="n"/>
      <c r="K53" s="43" t="n"/>
      <c r="L53" s="10" t="n"/>
      <c r="M53" s="10" t="n"/>
      <c r="N53" s="26" t="n"/>
    </row>
    <row r="54">
      <c r="A54" s="42" t="inlineStr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43" t="n"/>
      <c r="K54" s="43" t="n"/>
      <c r="L54" s="10" t="n"/>
      <c r="M54" s="10" t="n"/>
      <c r="N54" s="26" t="n"/>
    </row>
    <row r="55">
      <c r="A55" s="42" t="inlineStr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43" t="n"/>
      <c r="K55" s="43" t="n"/>
      <c r="L55" s="10" t="n"/>
      <c r="M55" s="10" t="n"/>
      <c r="N55" s="26" t="n"/>
    </row>
    <row r="56">
      <c r="A56" s="42" t="inlineStr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43" t="n"/>
      <c r="K56" s="43" t="n"/>
      <c r="L56" s="10" t="n"/>
      <c r="M56" s="10" t="n"/>
      <c r="N56" s="26" t="n"/>
    </row>
    <row r="57">
      <c r="A57" s="42" t="inlineStr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43" t="n"/>
      <c r="K57" s="43" t="n"/>
      <c r="L57" s="10" t="n"/>
      <c r="M57" s="10" t="n"/>
      <c r="N57" s="26" t="n"/>
    </row>
    <row r="58">
      <c r="A58" s="42" t="inlineStr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43" t="n"/>
      <c r="K58" s="43" t="n"/>
      <c r="L58" s="10" t="n"/>
      <c r="M58" s="10" t="n"/>
      <c r="N58" s="26" t="n"/>
    </row>
    <row r="59">
      <c r="A59" s="42" t="inlineStr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43" t="n"/>
      <c r="K59" s="43" t="n"/>
      <c r="L59" s="10" t="n"/>
      <c r="M59" s="10" t="n"/>
      <c r="N59" s="26" t="n"/>
    </row>
    <row r="60">
      <c r="A60" s="42" t="inlineStr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43" t="n"/>
      <c r="K60" s="43" t="n"/>
      <c r="L60" s="10" t="n"/>
      <c r="M60" s="10" t="n"/>
      <c r="N60" s="26" t="n"/>
    </row>
    <row r="61">
      <c r="A61" s="42" t="inlineStr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43" t="n"/>
      <c r="K61" s="43" t="n"/>
      <c r="L61" s="10" t="n"/>
      <c r="M61" s="10" t="n"/>
      <c r="N61" s="26" t="n"/>
    </row>
    <row r="62">
      <c r="A62" s="42" t="inlineStr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43" t="n"/>
      <c r="K62" s="43" t="n"/>
      <c r="L62" s="10" t="n"/>
      <c r="M62" s="10" t="n"/>
      <c r="N62" s="26" t="n"/>
    </row>
    <row r="63">
      <c r="A63" s="42" t="inlineStr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43" t="n"/>
      <c r="K63" s="43" t="n"/>
      <c r="L63" s="10" t="n"/>
      <c r="M63" s="10" t="n"/>
      <c r="N63" s="26" t="n"/>
    </row>
    <row r="64">
      <c r="A64" s="42" t="inlineStr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43" t="n"/>
      <c r="K64" s="43" t="n"/>
      <c r="L64" s="10" t="n"/>
      <c r="M64" s="10" t="n"/>
      <c r="N64" s="26" t="n"/>
    </row>
    <row r="65">
      <c r="A65" s="42" t="inlineStr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43" t="n"/>
      <c r="K65" s="43" t="n"/>
      <c r="L65" s="10" t="n"/>
      <c r="M65" s="10" t="n"/>
      <c r="N65" s="26" t="n"/>
    </row>
    <row r="66">
      <c r="A66" s="42" t="inlineStr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43" t="n"/>
      <c r="K66" s="43" t="n"/>
      <c r="L66" s="10" t="n"/>
      <c r="M66" s="10" t="n"/>
      <c r="N66" s="26" t="n"/>
    </row>
    <row r="67">
      <c r="A67" s="42" t="inlineStr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43" t="n"/>
      <c r="K67" s="43" t="n"/>
      <c r="L67" s="10" t="n"/>
      <c r="M67" s="10" t="n"/>
      <c r="N67" s="26" t="n"/>
    </row>
    <row r="68">
      <c r="A68" s="42" t="inlineStr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43" t="n"/>
      <c r="K68" s="43" t="n"/>
      <c r="L68" s="10" t="n"/>
      <c r="M68" s="10" t="n"/>
      <c r="N68" s="26" t="n"/>
    </row>
    <row r="69">
      <c r="A69" s="42" t="inlineStr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43" t="n"/>
      <c r="K69" s="43" t="n"/>
      <c r="L69" s="10" t="n"/>
      <c r="M69" s="10" t="n"/>
      <c r="N69" s="26" t="n"/>
    </row>
    <row r="70">
      <c r="A70" s="42" t="inlineStr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43" t="n"/>
      <c r="K70" s="43" t="n"/>
      <c r="L70" s="10" t="n"/>
      <c r="M70" s="10" t="n"/>
      <c r="N70" s="26" t="n"/>
    </row>
    <row r="71">
      <c r="A71" s="42" t="inlineStr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43" t="n"/>
      <c r="K71" s="43" t="n"/>
      <c r="L71" s="10" t="n"/>
      <c r="M71" s="10" t="n"/>
      <c r="N71" s="26" t="n"/>
    </row>
    <row r="72">
      <c r="A72" s="42" t="inlineStr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43" t="n"/>
      <c r="K72" s="43" t="n"/>
      <c r="L72" s="10" t="n"/>
      <c r="M72" s="10" t="n"/>
      <c r="N72" s="26" t="n"/>
    </row>
    <row r="73">
      <c r="A73" s="42" t="inlineStr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43" t="n"/>
      <c r="K73" s="43" t="n"/>
      <c r="L73" s="10" t="n"/>
      <c r="M73" s="10" t="n"/>
      <c r="N73" s="26" t="n"/>
    </row>
    <row r="74">
      <c r="A74" s="42" t="inlineStr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43" t="n"/>
      <c r="K74" s="43" t="n"/>
      <c r="L74" s="10" t="n"/>
      <c r="M74" s="10" t="n"/>
      <c r="N74" s="26" t="n"/>
    </row>
    <row r="75">
      <c r="A75" s="42" t="inlineStr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43" t="n"/>
      <c r="K75" s="43" t="n"/>
      <c r="L75" s="10" t="n"/>
      <c r="M75" s="10" t="n"/>
      <c r="N75" s="26" t="n"/>
    </row>
    <row r="76">
      <c r="A76" s="42" t="inlineStr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43" t="n"/>
      <c r="K76" s="43" t="n"/>
      <c r="L76" s="10" t="n"/>
      <c r="M76" s="10" t="n"/>
      <c r="N76" s="26" t="n"/>
    </row>
    <row r="77">
      <c r="A77" s="42" t="inlineStr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43" t="n"/>
      <c r="K77" s="43" t="n"/>
      <c r="L77" s="10" t="n"/>
      <c r="M77" s="10" t="n"/>
      <c r="N77" s="26" t="n"/>
    </row>
    <row r="78">
      <c r="A78" s="42" t="inlineStr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43" t="n"/>
      <c r="K78" s="43" t="n"/>
      <c r="L78" s="10" t="n"/>
      <c r="M78" s="10" t="n"/>
      <c r="N78" s="26" t="n"/>
    </row>
    <row r="79">
      <c r="A79" s="42" t="inlineStr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43" t="n"/>
      <c r="K79" s="43" t="n"/>
      <c r="L79" s="10" t="n"/>
      <c r="M79" s="10" t="n"/>
      <c r="N79" s="26" t="n"/>
    </row>
    <row r="80">
      <c r="A80" s="42" t="inlineStr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43" t="n"/>
      <c r="K80" s="43" t="n"/>
      <c r="L80" s="10" t="n"/>
      <c r="M80" s="10" t="n"/>
      <c r="N80" s="26" t="n"/>
    </row>
    <row r="81">
      <c r="A81" s="42" t="inlineStr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43" t="n"/>
      <c r="K81" s="43" t="n"/>
      <c r="L81" s="10" t="n"/>
      <c r="M81" s="10" t="n"/>
      <c r="N81" s="26" t="n"/>
    </row>
    <row r="82">
      <c r="A82" s="42" t="inlineStr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43" t="n"/>
      <c r="K82" s="43" t="n"/>
      <c r="L82" s="10" t="n"/>
      <c r="M82" s="10" t="n"/>
      <c r="N82" s="26" t="n"/>
    </row>
    <row r="83">
      <c r="A83" s="42" t="inlineStr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43" t="n"/>
      <c r="K83" s="43" t="n"/>
      <c r="L83" s="10" t="n"/>
      <c r="M83" s="10" t="n"/>
      <c r="N83" s="26" t="n"/>
    </row>
    <row r="84">
      <c r="A84" s="42" t="inlineStr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43" t="n"/>
      <c r="K84" s="43" t="n"/>
      <c r="L84" s="10" t="n"/>
      <c r="M84" s="10" t="n"/>
      <c r="N84" s="26" t="n"/>
    </row>
    <row r="85">
      <c r="A85" s="42" t="inlineStr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43" t="n"/>
      <c r="K85" s="43" t="n"/>
      <c r="L85" s="10" t="n"/>
      <c r="M85" s="10" t="n"/>
      <c r="N85" s="26" t="n"/>
    </row>
    <row r="86">
      <c r="A86" s="42" t="inlineStr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43" t="n"/>
      <c r="K86" s="43" t="n"/>
      <c r="L86" s="10" t="n"/>
      <c r="M86" s="10" t="n"/>
      <c r="N86" s="26" t="n"/>
    </row>
    <row r="87">
      <c r="A87" s="42" t="inlineStr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43" t="n"/>
      <c r="K87" s="43" t="n"/>
      <c r="L87" s="10" t="n"/>
      <c r="M87" s="10" t="n"/>
      <c r="N87" s="26" t="n"/>
    </row>
    <row r="88">
      <c r="A88" s="42" t="inlineStr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43" t="n"/>
      <c r="K88" s="43" t="n"/>
      <c r="L88" s="10" t="n"/>
      <c r="M88" s="10" t="n"/>
      <c r="N88" s="26" t="n"/>
    </row>
    <row r="89">
      <c r="A89" s="42" t="inlineStr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43" t="n"/>
      <c r="K89" s="43" t="n"/>
      <c r="L89" s="10" t="n"/>
      <c r="M89" s="10" t="n"/>
      <c r="N89" s="26" t="n"/>
    </row>
    <row r="90">
      <c r="A90" s="42" t="inlineStr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43" t="n"/>
      <c r="K90" s="43" t="n"/>
      <c r="L90" s="10" t="n"/>
      <c r="M90" s="10" t="n"/>
      <c r="N90" s="26" t="n"/>
    </row>
    <row r="91">
      <c r="A91" s="42" t="inlineStr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43" t="n"/>
      <c r="K91" s="43" t="n"/>
      <c r="L91" s="10" t="n"/>
      <c r="M91" s="10" t="n"/>
      <c r="N91" s="26" t="n"/>
    </row>
    <row r="92">
      <c r="A92" s="42" t="inlineStr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43" t="n"/>
      <c r="K92" s="43" t="n"/>
      <c r="L92" s="10" t="n"/>
      <c r="M92" s="10" t="n"/>
      <c r="N92" s="26" t="n"/>
    </row>
    <row r="93">
      <c r="A93" s="42" t="inlineStr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43" t="n"/>
      <c r="K93" s="43" t="n"/>
      <c r="L93" s="10" t="n"/>
      <c r="M93" s="10" t="n"/>
      <c r="N93" s="26" t="n"/>
    </row>
    <row r="94">
      <c r="A94" s="42" t="inlineStr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43" t="n"/>
      <c r="K94" s="43" t="n"/>
      <c r="L94" s="10" t="n"/>
      <c r="M94" s="10" t="n"/>
      <c r="N94" s="26" t="n"/>
    </row>
    <row r="95">
      <c r="A95" s="42" t="inlineStr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43" t="n"/>
      <c r="K95" s="43" t="n"/>
      <c r="L95" s="10" t="n"/>
      <c r="M95" s="10" t="n"/>
      <c r="N95" s="26" t="n"/>
    </row>
    <row r="96">
      <c r="A96" s="42" t="inlineStr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43" t="n"/>
      <c r="K96" s="43" t="n"/>
      <c r="L96" s="10" t="n"/>
      <c r="M96" s="10" t="n"/>
      <c r="N96" s="26" t="n"/>
    </row>
    <row r="97">
      <c r="A97" s="42" t="inlineStr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43" t="n"/>
      <c r="K97" s="43" t="n"/>
      <c r="L97" s="10" t="n"/>
      <c r="M97" s="10" t="n"/>
      <c r="N97" s="26" t="n"/>
    </row>
    <row r="98">
      <c r="A98" s="42" t="inlineStr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43" t="n"/>
      <c r="K98" s="43" t="n"/>
      <c r="L98" s="10" t="n"/>
      <c r="M98" s="10" t="n"/>
      <c r="N98" s="26" t="n"/>
    </row>
    <row r="99">
      <c r="A99" s="42" t="inlineStr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43" t="n"/>
      <c r="K99" s="43" t="n"/>
      <c r="L99" s="10" t="n"/>
      <c r="M99" s="10" t="n"/>
      <c r="N99" s="26" t="n"/>
    </row>
    <row r="100">
      <c r="A100" s="42" t="inlineStr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43" t="n"/>
      <c r="K100" s="43" t="n"/>
      <c r="L100" s="10" t="n"/>
      <c r="M100" s="10" t="n"/>
      <c r="N100" s="26" t="n"/>
    </row>
    <row r="101">
      <c r="A101" s="42" t="inlineStr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43" t="n"/>
      <c r="K101" s="43" t="n"/>
      <c r="L101" s="10" t="n"/>
      <c r="M101" s="10" t="n"/>
      <c r="N101" s="26" t="n"/>
    </row>
    <row r="102">
      <c r="A102" s="42" t="inlineStr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43" t="n"/>
      <c r="K102" s="43" t="n"/>
      <c r="L102" s="10" t="n"/>
      <c r="M102" s="10" t="n"/>
      <c r="N102" s="26" t="n"/>
    </row>
    <row r="103">
      <c r="A103" s="42" t="inlineStr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43" t="n"/>
      <c r="K103" s="43" t="n"/>
      <c r="L103" s="10" t="n"/>
      <c r="M103" s="10" t="n"/>
      <c r="N103" s="26" t="n"/>
    </row>
    <row r="104">
      <c r="A104" s="42" t="inlineStr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43" t="n"/>
      <c r="K104" s="43" t="n"/>
      <c r="L104" s="10" t="n"/>
      <c r="M104" s="10" t="n"/>
      <c r="N104" s="26" t="n"/>
    </row>
    <row r="105">
      <c r="A105" s="42" t="inlineStr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43" t="n"/>
      <c r="K105" s="43" t="n"/>
      <c r="L105" s="10" t="n"/>
      <c r="M105" s="10" t="n"/>
      <c r="N105" s="26" t="n"/>
    </row>
    <row r="106">
      <c r="A106" s="42" t="inlineStr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43" t="n"/>
      <c r="K106" s="43" t="n"/>
      <c r="L106" s="10" t="n"/>
      <c r="M106" s="10" t="n"/>
      <c r="N106" s="26" t="n"/>
    </row>
  </sheetData>
  <mergeCells count="1">
    <mergeCell ref="A4:N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  <col width="4" customWidth="1" min="4" max="4"/>
  </cols>
  <sheetData>
    <row r="1">
      <c r="A1" s="9" t="inlineStr">
        <is>
          <t>Offer Calculator (Blind Offers + Target ROI)</t>
        </is>
      </c>
    </row>
    <row r="2">
      <c r="A2" s="2" t="inlineStr">
        <is>
          <t>Use for land offers or quick build-to-sell acquisition math. Change yellow inputs.</t>
        </is>
      </c>
    </row>
    <row r="4">
      <c r="A4" s="3" t="inlineStr">
        <is>
          <t>Inputs</t>
        </is>
      </c>
    </row>
    <row r="6">
      <c r="A6" s="44" t="inlineStr">
        <is>
          <t>Market value (comp-based) ($)</t>
        </is>
      </c>
      <c r="B6" s="45" t="n">
        <v>100000</v>
      </c>
    </row>
    <row r="7">
      <c r="A7" s="44" t="inlineStr">
        <is>
          <t>Offer % of market value (blind offer)</t>
        </is>
      </c>
      <c r="B7" s="46" t="n">
        <v>0.25</v>
      </c>
    </row>
    <row r="8">
      <c r="A8" s="44" t="inlineStr">
        <is>
          <t>Estimated closing / due diligence costs ($)</t>
        </is>
      </c>
      <c r="B8" s="45" t="n">
        <v>2500</v>
      </c>
    </row>
    <row r="9">
      <c r="A9" s="44" t="inlineStr">
        <is>
          <t>Desired minimum ROI on flip (if applicable)</t>
        </is>
      </c>
      <c r="B9" s="46">
        <f>01_Inputs!B9</f>
        <v/>
      </c>
    </row>
    <row r="11">
      <c r="A11" s="3" t="inlineStr">
        <is>
          <t>Outputs</t>
        </is>
      </c>
    </row>
    <row r="13">
      <c r="A13" s="4" t="inlineStr">
        <is>
          <t>Suggested blind offer ($)</t>
        </is>
      </c>
      <c r="B13" s="20">
        <f>B6*B7-B8</f>
        <v/>
      </c>
    </row>
    <row r="14">
      <c r="A14" s="4" t="inlineStr">
        <is>
          <t>If you resell at market value, estimated ROI</t>
        </is>
      </c>
      <c r="B14" s="19">
        <f>IF(B13=0,"",(B6-(B13+B8))/(B13+B8))</f>
        <v/>
      </c>
    </row>
    <row r="15">
      <c r="A15" s="4" t="inlineStr">
        <is>
          <t>Pass/Fail vs minimum ROI</t>
        </is>
      </c>
      <c r="B15" s="47">
        <f>IF(B14="","",IF(B14&gt;=B9,"PASS","FAIL"))</f>
        <v/>
      </c>
    </row>
    <row r="18">
      <c r="A18" s="48" t="inlineStr">
        <is>
          <t>Notes</t>
        </is>
      </c>
      <c r="B18" s="49" t="inlineStr">
        <is>
          <t>For land, many investors start with 15–30% of market value depending on market + risks. Adjust per county fees, access, zoning, utilities.</t>
        </is>
      </c>
      <c r="C18" s="50" t="n"/>
      <c r="D18" s="51" t="n"/>
    </row>
    <row r="19">
      <c r="B19" s="52" t="n"/>
      <c r="C19" s="53" t="n"/>
      <c r="D19" s="54" t="n"/>
    </row>
  </sheetData>
  <mergeCells count="3">
    <mergeCell ref="A4:D4"/>
    <mergeCell ref="B18:D19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0" customWidth="1" min="4" max="4"/>
    <col width="40" customWidth="1" min="5" max="5"/>
    <col width="40" customWidth="1" min="6" max="6"/>
    <col width="28" customWidth="1" min="7" max="7"/>
    <col width="18" customWidth="1" min="8" max="8"/>
  </cols>
  <sheetData>
    <row r="1">
      <c r="A1" s="55" t="inlineStr">
        <is>
          <t>US State GIS / Parcel / Zoning Directories (Official-first)</t>
        </is>
      </c>
    </row>
    <row r="2">
      <c r="A2" s="56" t="inlineStr">
        <is>
          <t>This sheet is built to force official links into your workflow. Start at NSGIC (state GIS offices) and your county's official website, then paste the direct GIS / assessor / zoning URLs you verify. These URLs change—your system stays.</t>
        </is>
      </c>
    </row>
    <row r="3"/>
    <row r="5">
      <c r="A5" s="57" t="inlineStr">
        <is>
          <t>State</t>
        </is>
      </c>
      <c r="B5" s="57" t="inlineStr">
        <is>
          <t>NSGIC State Profile (GIS Office/Clearinghouse)</t>
        </is>
      </c>
      <c r="C5" s="57" t="inlineStr">
        <is>
          <t>County Official Website Directory (start here)</t>
        </is>
      </c>
      <c r="D5" s="57" t="inlineStr">
        <is>
          <t>Statewide Parcel/Property Search (if available)</t>
        </is>
      </c>
      <c r="E5" s="57" t="inlineStr">
        <is>
          <t>State Planning/Zoning Office / Statutes</t>
        </is>
      </c>
      <c r="F5" s="57" t="inlineStr">
        <is>
          <t>Recorder/Deeds Search (statewide, if exists)</t>
        </is>
      </c>
      <c r="G5" s="57" t="inlineStr">
        <is>
          <t>Notes</t>
        </is>
      </c>
      <c r="H5" s="57" t="inlineStr">
        <is>
          <t>Last Verified (date)</t>
        </is>
      </c>
    </row>
    <row r="6">
      <c r="A6" s="58" t="inlineStr">
        <is>
          <t>Alabama</t>
        </is>
      </c>
      <c r="B6" s="58" t="inlineStr">
        <is>
          <t>https://nsgic.memberclicks.net/states</t>
        </is>
      </c>
      <c r="C6" s="58" t="inlineStr">
        <is>
          <t>https://explorer.naco.org/</t>
        </is>
      </c>
      <c r="D6" s="58" t="inlineStr"/>
      <c r="E6" s="58" t="inlineStr"/>
      <c r="F6" s="58" t="inlineStr"/>
      <c r="G6" s="58" t="inlineStr"/>
      <c r="H6" s="58" t="inlineStr"/>
    </row>
    <row r="7">
      <c r="A7" s="58" t="inlineStr">
        <is>
          <t>Alaska</t>
        </is>
      </c>
      <c r="B7" s="58" t="inlineStr">
        <is>
          <t>https://nsgic.memberclicks.net/states</t>
        </is>
      </c>
      <c r="C7" s="58" t="inlineStr">
        <is>
          <t>https://explorer.naco.org/</t>
        </is>
      </c>
      <c r="D7" s="58" t="inlineStr"/>
      <c r="E7" s="58" t="inlineStr"/>
      <c r="F7" s="58" t="inlineStr"/>
      <c r="G7" s="58" t="inlineStr"/>
      <c r="H7" s="58" t="inlineStr"/>
    </row>
    <row r="8">
      <c r="A8" s="58" t="inlineStr">
        <is>
          <t>Arizona</t>
        </is>
      </c>
      <c r="B8" s="58" t="inlineStr">
        <is>
          <t>https://nsgic.memberclicks.net/states</t>
        </is>
      </c>
      <c r="C8" s="58" t="inlineStr">
        <is>
          <t>https://explorer.naco.org/</t>
        </is>
      </c>
      <c r="D8" s="58" t="inlineStr"/>
      <c r="E8" s="58" t="inlineStr"/>
      <c r="F8" s="58" t="inlineStr"/>
      <c r="G8" s="58" t="inlineStr"/>
      <c r="H8" s="58" t="inlineStr"/>
    </row>
    <row r="9">
      <c r="A9" s="58" t="inlineStr">
        <is>
          <t>Arkansas</t>
        </is>
      </c>
      <c r="B9" s="58" t="inlineStr">
        <is>
          <t>https://nsgic.memberclicks.net/states</t>
        </is>
      </c>
      <c r="C9" s="58" t="inlineStr">
        <is>
          <t>https://explorer.naco.org/</t>
        </is>
      </c>
      <c r="D9" s="58" t="inlineStr"/>
      <c r="E9" s="58" t="inlineStr"/>
      <c r="F9" s="58" t="inlineStr"/>
      <c r="G9" s="58" t="inlineStr"/>
      <c r="H9" s="58" t="inlineStr"/>
    </row>
    <row r="10">
      <c r="A10" s="58" t="inlineStr">
        <is>
          <t>California</t>
        </is>
      </c>
      <c r="B10" s="58" t="inlineStr">
        <is>
          <t>https://nsgic.memberclicks.net/states</t>
        </is>
      </c>
      <c r="C10" s="58" t="inlineStr">
        <is>
          <t>https://explorer.naco.org/</t>
        </is>
      </c>
      <c r="D10" s="58" t="inlineStr"/>
      <c r="E10" s="58" t="inlineStr"/>
      <c r="F10" s="58" t="inlineStr"/>
      <c r="G10" s="58" t="inlineStr"/>
      <c r="H10" s="58" t="inlineStr"/>
    </row>
    <row r="11">
      <c r="A11" s="58" t="inlineStr">
        <is>
          <t>Colorado</t>
        </is>
      </c>
      <c r="B11" s="58" t="inlineStr">
        <is>
          <t>https://nsgic.memberclicks.net/states</t>
        </is>
      </c>
      <c r="C11" s="58" t="inlineStr">
        <is>
          <t>https://explorer.naco.org/</t>
        </is>
      </c>
      <c r="D11" s="58" t="inlineStr"/>
      <c r="E11" s="58" t="inlineStr"/>
      <c r="F11" s="58" t="inlineStr"/>
      <c r="G11" s="58" t="inlineStr"/>
      <c r="H11" s="58" t="inlineStr"/>
    </row>
    <row r="12">
      <c r="A12" s="58" t="inlineStr">
        <is>
          <t>Connecticut</t>
        </is>
      </c>
      <c r="B12" s="58" t="inlineStr">
        <is>
          <t>https://nsgic.memberclicks.net/states</t>
        </is>
      </c>
      <c r="C12" s="58" t="inlineStr">
        <is>
          <t>https://explorer.naco.org/</t>
        </is>
      </c>
      <c r="D12" s="58" t="inlineStr"/>
      <c r="E12" s="58" t="inlineStr"/>
      <c r="F12" s="58" t="inlineStr"/>
      <c r="G12" s="58" t="inlineStr"/>
      <c r="H12" s="58" t="inlineStr"/>
    </row>
    <row r="13">
      <c r="A13" s="58" t="inlineStr">
        <is>
          <t>Delaware</t>
        </is>
      </c>
      <c r="B13" s="58" t="inlineStr">
        <is>
          <t>https://nsgic.memberclicks.net/states</t>
        </is>
      </c>
      <c r="C13" s="58" t="inlineStr">
        <is>
          <t>https://explorer.naco.org/</t>
        </is>
      </c>
      <c r="D13" s="58" t="inlineStr"/>
      <c r="E13" s="58" t="inlineStr"/>
      <c r="F13" s="58" t="inlineStr"/>
      <c r="G13" s="58" t="inlineStr"/>
      <c r="H13" s="58" t="inlineStr"/>
    </row>
    <row r="14">
      <c r="A14" s="58" t="inlineStr">
        <is>
          <t>District of Columbia</t>
        </is>
      </c>
      <c r="B14" s="58" t="inlineStr">
        <is>
          <t>https://nsgic.memberclicks.net/states</t>
        </is>
      </c>
      <c r="C14" s="58" t="inlineStr">
        <is>
          <t>https://explorer.naco.org/</t>
        </is>
      </c>
      <c r="D14" s="58" t="inlineStr"/>
      <c r="E14" s="58" t="inlineStr"/>
      <c r="F14" s="58" t="inlineStr"/>
      <c r="G14" s="58" t="inlineStr"/>
      <c r="H14" s="58" t="inlineStr"/>
    </row>
    <row r="15">
      <c r="A15" s="58" t="inlineStr">
        <is>
          <t>Florida</t>
        </is>
      </c>
      <c r="B15" s="58" t="inlineStr">
        <is>
          <t>https://nsgic.memberclicks.net/states</t>
        </is>
      </c>
      <c r="C15" s="58" t="inlineStr">
        <is>
          <t>https://explorer.naco.org/</t>
        </is>
      </c>
      <c r="D15" s="58" t="inlineStr"/>
      <c r="E15" s="58" t="inlineStr"/>
      <c r="F15" s="58" t="inlineStr"/>
      <c r="G15" s="58" t="inlineStr"/>
      <c r="H15" s="58" t="inlineStr"/>
    </row>
    <row r="16">
      <c r="A16" s="58" t="inlineStr">
        <is>
          <t>Georgia</t>
        </is>
      </c>
      <c r="B16" s="58" t="inlineStr">
        <is>
          <t>https://nsgic.memberclicks.net/states</t>
        </is>
      </c>
      <c r="C16" s="58" t="inlineStr">
        <is>
          <t>https://explorer.naco.org/</t>
        </is>
      </c>
      <c r="D16" s="58" t="inlineStr"/>
      <c r="E16" s="58" t="inlineStr"/>
      <c r="F16" s="58" t="inlineStr"/>
      <c r="G16" s="58" t="inlineStr"/>
      <c r="H16" s="58" t="inlineStr"/>
    </row>
    <row r="17">
      <c r="A17" s="58" t="inlineStr">
        <is>
          <t>Hawaii</t>
        </is>
      </c>
      <c r="B17" s="58" t="inlineStr">
        <is>
          <t>https://nsgic.memberclicks.net/states</t>
        </is>
      </c>
      <c r="C17" s="58" t="inlineStr">
        <is>
          <t>https://explorer.naco.org/</t>
        </is>
      </c>
      <c r="D17" s="58" t="inlineStr"/>
      <c r="E17" s="58" t="inlineStr"/>
      <c r="F17" s="58" t="inlineStr"/>
      <c r="G17" s="58" t="inlineStr"/>
      <c r="H17" s="58" t="inlineStr"/>
    </row>
    <row r="18">
      <c r="A18" s="58" t="inlineStr">
        <is>
          <t>Idaho</t>
        </is>
      </c>
      <c r="B18" s="58" t="inlineStr">
        <is>
          <t>https://nsgic.memberclicks.net/states</t>
        </is>
      </c>
      <c r="C18" s="58" t="inlineStr">
        <is>
          <t>https://explorer.naco.org/</t>
        </is>
      </c>
      <c r="D18" s="58" t="inlineStr"/>
      <c r="E18" s="58" t="inlineStr"/>
      <c r="F18" s="58" t="inlineStr"/>
      <c r="G18" s="58" t="inlineStr"/>
      <c r="H18" s="58" t="inlineStr"/>
    </row>
    <row r="19">
      <c r="A19" s="58" t="inlineStr">
        <is>
          <t>Illinois</t>
        </is>
      </c>
      <c r="B19" s="58" t="inlineStr">
        <is>
          <t>https://nsgic.memberclicks.net/states</t>
        </is>
      </c>
      <c r="C19" s="58" t="inlineStr">
        <is>
          <t>https://explorer.naco.org/</t>
        </is>
      </c>
      <c r="D19" s="58" t="inlineStr"/>
      <c r="E19" s="58" t="inlineStr"/>
      <c r="F19" s="58" t="inlineStr"/>
      <c r="G19" s="58" t="inlineStr"/>
      <c r="H19" s="58" t="inlineStr"/>
    </row>
    <row r="20">
      <c r="A20" s="58" t="inlineStr">
        <is>
          <t>Indiana</t>
        </is>
      </c>
      <c r="B20" s="58" t="inlineStr">
        <is>
          <t>https://nsgic.memberclicks.net/states</t>
        </is>
      </c>
      <c r="C20" s="58" t="inlineStr">
        <is>
          <t>https://explorer.naco.org/</t>
        </is>
      </c>
      <c r="D20" s="58" t="inlineStr"/>
      <c r="E20" s="58" t="inlineStr"/>
      <c r="F20" s="58" t="inlineStr"/>
      <c r="G20" s="58" t="inlineStr"/>
      <c r="H20" s="58" t="inlineStr"/>
    </row>
    <row r="21">
      <c r="A21" s="58" t="inlineStr">
        <is>
          <t>Iowa</t>
        </is>
      </c>
      <c r="B21" s="58" t="inlineStr">
        <is>
          <t>https://nsgic.memberclicks.net/states</t>
        </is>
      </c>
      <c r="C21" s="58" t="inlineStr">
        <is>
          <t>https://explorer.naco.org/</t>
        </is>
      </c>
      <c r="D21" s="58" t="inlineStr"/>
      <c r="E21" s="58" t="inlineStr"/>
      <c r="F21" s="58" t="inlineStr"/>
      <c r="G21" s="58" t="inlineStr"/>
      <c r="H21" s="58" t="inlineStr"/>
    </row>
    <row r="22">
      <c r="A22" s="58" t="inlineStr">
        <is>
          <t>Kansas</t>
        </is>
      </c>
      <c r="B22" s="58" t="inlineStr">
        <is>
          <t>https://nsgic.memberclicks.net/states</t>
        </is>
      </c>
      <c r="C22" s="58" t="inlineStr">
        <is>
          <t>https://explorer.naco.org/</t>
        </is>
      </c>
      <c r="D22" s="58" t="inlineStr"/>
      <c r="E22" s="58" t="inlineStr"/>
      <c r="F22" s="58" t="inlineStr"/>
      <c r="G22" s="58" t="inlineStr"/>
      <c r="H22" s="58" t="inlineStr"/>
    </row>
    <row r="23">
      <c r="A23" s="58" t="inlineStr">
        <is>
          <t>Kentucky</t>
        </is>
      </c>
      <c r="B23" s="58" t="inlineStr">
        <is>
          <t>https://nsgic.memberclicks.net/states</t>
        </is>
      </c>
      <c r="C23" s="58" t="inlineStr">
        <is>
          <t>https://explorer.naco.org/</t>
        </is>
      </c>
      <c r="D23" s="58" t="inlineStr"/>
      <c r="E23" s="58" t="inlineStr"/>
      <c r="F23" s="58" t="inlineStr"/>
      <c r="G23" s="58" t="inlineStr"/>
      <c r="H23" s="58" t="inlineStr"/>
    </row>
    <row r="24">
      <c r="A24" s="58" t="inlineStr">
        <is>
          <t>Louisiana</t>
        </is>
      </c>
      <c r="B24" s="58" t="inlineStr">
        <is>
          <t>https://nsgic.memberclicks.net/states</t>
        </is>
      </c>
      <c r="C24" s="58" t="inlineStr">
        <is>
          <t>https://explorer.naco.org/</t>
        </is>
      </c>
      <c r="D24" s="58" t="inlineStr"/>
      <c r="E24" s="58" t="inlineStr"/>
      <c r="F24" s="58" t="inlineStr"/>
      <c r="G24" s="58" t="inlineStr"/>
      <c r="H24" s="58" t="inlineStr"/>
    </row>
    <row r="25">
      <c r="A25" s="58" t="inlineStr">
        <is>
          <t>Maine</t>
        </is>
      </c>
      <c r="B25" s="58" t="inlineStr">
        <is>
          <t>https://nsgic.memberclicks.net/states</t>
        </is>
      </c>
      <c r="C25" s="58" t="inlineStr">
        <is>
          <t>https://explorer.naco.org/</t>
        </is>
      </c>
      <c r="D25" s="58" t="inlineStr"/>
      <c r="E25" s="58" t="inlineStr"/>
      <c r="F25" s="58" t="inlineStr"/>
      <c r="G25" s="58" t="inlineStr"/>
      <c r="H25" s="58" t="inlineStr"/>
    </row>
    <row r="26">
      <c r="A26" s="58" t="inlineStr">
        <is>
          <t>Maryland</t>
        </is>
      </c>
      <c r="B26" s="58" t="inlineStr">
        <is>
          <t>https://nsgic.memberclicks.net/states</t>
        </is>
      </c>
      <c r="C26" s="58" t="inlineStr">
        <is>
          <t>https://explorer.naco.org/</t>
        </is>
      </c>
      <c r="D26" s="58" t="inlineStr"/>
      <c r="E26" s="58" t="inlineStr"/>
      <c r="F26" s="58" t="inlineStr"/>
      <c r="G26" s="58" t="inlineStr"/>
      <c r="H26" s="58" t="inlineStr"/>
    </row>
    <row r="27">
      <c r="A27" s="58" t="inlineStr">
        <is>
          <t>Massachusetts</t>
        </is>
      </c>
      <c r="B27" s="58" t="inlineStr">
        <is>
          <t>https://nsgic.memberclicks.net/states</t>
        </is>
      </c>
      <c r="C27" s="58" t="inlineStr">
        <is>
          <t>https://explorer.naco.org/</t>
        </is>
      </c>
      <c r="D27" s="58" t="inlineStr"/>
      <c r="E27" s="58" t="inlineStr"/>
      <c r="F27" s="58" t="inlineStr"/>
      <c r="G27" s="58" t="inlineStr"/>
      <c r="H27" s="58" t="inlineStr"/>
    </row>
    <row r="28">
      <c r="A28" s="58" t="inlineStr">
        <is>
          <t>Michigan</t>
        </is>
      </c>
      <c r="B28" s="58" t="inlineStr">
        <is>
          <t>https://nsgic.memberclicks.net/states</t>
        </is>
      </c>
      <c r="C28" s="58" t="inlineStr">
        <is>
          <t>https://explorer.naco.org/</t>
        </is>
      </c>
      <c r="D28" s="58" t="inlineStr"/>
      <c r="E28" s="58" t="inlineStr"/>
      <c r="F28" s="58" t="inlineStr"/>
      <c r="G28" s="58" t="inlineStr"/>
      <c r="H28" s="58" t="inlineStr"/>
    </row>
    <row r="29">
      <c r="A29" s="58" t="inlineStr">
        <is>
          <t>Minnesota</t>
        </is>
      </c>
      <c r="B29" s="58" t="inlineStr">
        <is>
          <t>https://nsgic.memberclicks.net/states</t>
        </is>
      </c>
      <c r="C29" s="58" t="inlineStr">
        <is>
          <t>https://explorer.naco.org/</t>
        </is>
      </c>
      <c r="D29" s="58" t="inlineStr"/>
      <c r="E29" s="58" t="inlineStr"/>
      <c r="F29" s="58" t="inlineStr"/>
      <c r="G29" s="58" t="inlineStr"/>
      <c r="H29" s="58" t="inlineStr"/>
    </row>
    <row r="30">
      <c r="A30" s="58" t="inlineStr">
        <is>
          <t>Mississippi</t>
        </is>
      </c>
      <c r="B30" s="58" t="inlineStr">
        <is>
          <t>https://nsgic.memberclicks.net/states</t>
        </is>
      </c>
      <c r="C30" s="58" t="inlineStr">
        <is>
          <t>https://explorer.naco.org/</t>
        </is>
      </c>
      <c r="D30" s="58" t="inlineStr"/>
      <c r="E30" s="58" t="inlineStr"/>
      <c r="F30" s="58" t="inlineStr"/>
      <c r="G30" s="58" t="inlineStr"/>
      <c r="H30" s="58" t="inlineStr"/>
    </row>
    <row r="31">
      <c r="A31" s="58" t="inlineStr">
        <is>
          <t>Missouri</t>
        </is>
      </c>
      <c r="B31" s="58" t="inlineStr">
        <is>
          <t>https://nsgic.memberclicks.net/states</t>
        </is>
      </c>
      <c r="C31" s="58" t="inlineStr">
        <is>
          <t>https://explorer.naco.org/</t>
        </is>
      </c>
      <c r="D31" s="58" t="inlineStr"/>
      <c r="E31" s="58" t="inlineStr"/>
      <c r="F31" s="58" t="inlineStr"/>
      <c r="G31" s="58" t="inlineStr"/>
      <c r="H31" s="58" t="inlineStr"/>
    </row>
    <row r="32">
      <c r="A32" s="58" t="inlineStr">
        <is>
          <t>Montana</t>
        </is>
      </c>
      <c r="B32" s="58" t="inlineStr">
        <is>
          <t>https://nsgic.memberclicks.net/states</t>
        </is>
      </c>
      <c r="C32" s="58" t="inlineStr">
        <is>
          <t>https://explorer.naco.org/</t>
        </is>
      </c>
      <c r="D32" s="58" t="inlineStr"/>
      <c r="E32" s="58" t="inlineStr"/>
      <c r="F32" s="58" t="inlineStr"/>
      <c r="G32" s="58" t="inlineStr"/>
      <c r="H32" s="58" t="inlineStr"/>
    </row>
    <row r="33">
      <c r="A33" s="58" t="inlineStr">
        <is>
          <t>Nebraska</t>
        </is>
      </c>
      <c r="B33" s="58" t="inlineStr">
        <is>
          <t>https://nsgic.memberclicks.net/states</t>
        </is>
      </c>
      <c r="C33" s="58" t="inlineStr">
        <is>
          <t>https://explorer.naco.org/</t>
        </is>
      </c>
      <c r="D33" s="58" t="inlineStr"/>
      <c r="E33" s="58" t="inlineStr"/>
      <c r="F33" s="58" t="inlineStr"/>
      <c r="G33" s="58" t="inlineStr"/>
      <c r="H33" s="58" t="inlineStr"/>
    </row>
    <row r="34">
      <c r="A34" s="58" t="inlineStr">
        <is>
          <t>Nevada</t>
        </is>
      </c>
      <c r="B34" s="58" t="inlineStr">
        <is>
          <t>https://nsgic.memberclicks.net/states</t>
        </is>
      </c>
      <c r="C34" s="58" t="inlineStr">
        <is>
          <t>https://explorer.naco.org/</t>
        </is>
      </c>
      <c r="D34" s="58" t="inlineStr"/>
      <c r="E34" s="58" t="inlineStr"/>
      <c r="F34" s="58" t="inlineStr"/>
      <c r="G34" s="58" t="inlineStr"/>
      <c r="H34" s="58" t="inlineStr"/>
    </row>
    <row r="35">
      <c r="A35" s="58" t="inlineStr">
        <is>
          <t>New Hampshire</t>
        </is>
      </c>
      <c r="B35" s="58" t="inlineStr">
        <is>
          <t>https://nsgic.memberclicks.net/states</t>
        </is>
      </c>
      <c r="C35" s="58" t="inlineStr">
        <is>
          <t>https://explorer.naco.org/</t>
        </is>
      </c>
      <c r="D35" s="58" t="inlineStr"/>
      <c r="E35" s="58" t="inlineStr"/>
      <c r="F35" s="58" t="inlineStr"/>
      <c r="G35" s="58" t="inlineStr"/>
      <c r="H35" s="58" t="inlineStr"/>
    </row>
    <row r="36">
      <c r="A36" s="58" t="inlineStr">
        <is>
          <t>New Jersey</t>
        </is>
      </c>
      <c r="B36" s="58" t="inlineStr">
        <is>
          <t>https://nsgic.memberclicks.net/states</t>
        </is>
      </c>
      <c r="C36" s="58" t="inlineStr">
        <is>
          <t>https://explorer.naco.org/</t>
        </is>
      </c>
      <c r="D36" s="58" t="inlineStr"/>
      <c r="E36" s="58" t="inlineStr"/>
      <c r="F36" s="58" t="inlineStr"/>
      <c r="G36" s="58" t="inlineStr"/>
      <c r="H36" s="58" t="inlineStr"/>
    </row>
    <row r="37">
      <c r="A37" s="58" t="inlineStr">
        <is>
          <t>New Mexico</t>
        </is>
      </c>
      <c r="B37" s="58" t="inlineStr">
        <is>
          <t>https://nsgic.memberclicks.net/states</t>
        </is>
      </c>
      <c r="C37" s="58" t="inlineStr">
        <is>
          <t>https://explorer.naco.org/</t>
        </is>
      </c>
      <c r="D37" s="58" t="inlineStr"/>
      <c r="E37" s="58" t="inlineStr"/>
      <c r="F37" s="58" t="inlineStr"/>
      <c r="G37" s="58" t="inlineStr"/>
      <c r="H37" s="58" t="inlineStr"/>
    </row>
    <row r="38">
      <c r="A38" s="58" t="inlineStr">
        <is>
          <t>New York</t>
        </is>
      </c>
      <c r="B38" s="58" t="inlineStr">
        <is>
          <t>https://nsgic.memberclicks.net/states</t>
        </is>
      </c>
      <c r="C38" s="58" t="inlineStr">
        <is>
          <t>https://explorer.naco.org/</t>
        </is>
      </c>
      <c r="D38" s="58" t="inlineStr"/>
      <c r="E38" s="58" t="inlineStr"/>
      <c r="F38" s="58" t="inlineStr"/>
      <c r="G38" s="58" t="inlineStr"/>
      <c r="H38" s="58" t="inlineStr"/>
    </row>
    <row r="39">
      <c r="A39" s="58" t="inlineStr">
        <is>
          <t>North Carolina</t>
        </is>
      </c>
      <c r="B39" s="58" t="inlineStr">
        <is>
          <t>https://nsgic.memberclicks.net/states</t>
        </is>
      </c>
      <c r="C39" s="58" t="inlineStr">
        <is>
          <t>https://explorer.naco.org/</t>
        </is>
      </c>
      <c r="D39" s="58" t="inlineStr"/>
      <c r="E39" s="58" t="inlineStr"/>
      <c r="F39" s="58" t="inlineStr"/>
      <c r="G39" s="58" t="inlineStr"/>
      <c r="H39" s="58" t="inlineStr"/>
    </row>
    <row r="40">
      <c r="A40" s="58" t="inlineStr">
        <is>
          <t>North Dakota</t>
        </is>
      </c>
      <c r="B40" s="58" t="inlineStr">
        <is>
          <t>https://nsgic.memberclicks.net/states</t>
        </is>
      </c>
      <c r="C40" s="58" t="inlineStr">
        <is>
          <t>https://explorer.naco.org/</t>
        </is>
      </c>
      <c r="D40" s="58" t="inlineStr"/>
      <c r="E40" s="58" t="inlineStr"/>
      <c r="F40" s="58" t="inlineStr"/>
      <c r="G40" s="58" t="inlineStr"/>
      <c r="H40" s="58" t="inlineStr"/>
    </row>
    <row r="41">
      <c r="A41" s="58" t="inlineStr">
        <is>
          <t>Ohio</t>
        </is>
      </c>
      <c r="B41" s="58" t="inlineStr">
        <is>
          <t>https://nsgic.memberclicks.net/states</t>
        </is>
      </c>
      <c r="C41" s="58" t="inlineStr">
        <is>
          <t>https://explorer.naco.org/</t>
        </is>
      </c>
      <c r="D41" s="58" t="inlineStr"/>
      <c r="E41" s="58" t="inlineStr"/>
      <c r="F41" s="58" t="inlineStr"/>
      <c r="G41" s="58" t="inlineStr"/>
      <c r="H41" s="58" t="inlineStr"/>
    </row>
    <row r="42">
      <c r="A42" s="58" t="inlineStr">
        <is>
          <t>Oklahoma</t>
        </is>
      </c>
      <c r="B42" s="58" t="inlineStr">
        <is>
          <t>https://nsgic.memberclicks.net/states</t>
        </is>
      </c>
      <c r="C42" s="58" t="inlineStr">
        <is>
          <t>https://explorer.naco.org/</t>
        </is>
      </c>
      <c r="D42" s="58" t="inlineStr"/>
      <c r="E42" s="58" t="inlineStr"/>
      <c r="F42" s="58" t="inlineStr"/>
      <c r="G42" s="58" t="inlineStr"/>
      <c r="H42" s="58" t="inlineStr"/>
    </row>
    <row r="43">
      <c r="A43" s="58" t="inlineStr">
        <is>
          <t>Oregon</t>
        </is>
      </c>
      <c r="B43" s="58" t="inlineStr">
        <is>
          <t>https://nsgic.memberclicks.net/states</t>
        </is>
      </c>
      <c r="C43" s="58" t="inlineStr">
        <is>
          <t>https://explorer.naco.org/</t>
        </is>
      </c>
      <c r="D43" s="58" t="inlineStr"/>
      <c r="E43" s="58" t="inlineStr"/>
      <c r="F43" s="58" t="inlineStr"/>
      <c r="G43" s="58" t="inlineStr"/>
      <c r="H43" s="58" t="inlineStr"/>
    </row>
    <row r="44">
      <c r="A44" s="58" t="inlineStr">
        <is>
          <t>Pennsylvania</t>
        </is>
      </c>
      <c r="B44" s="58" t="inlineStr">
        <is>
          <t>https://nsgic.memberclicks.net/states</t>
        </is>
      </c>
      <c r="C44" s="58" t="inlineStr">
        <is>
          <t>https://explorer.naco.org/</t>
        </is>
      </c>
      <c r="D44" s="58" t="inlineStr"/>
      <c r="E44" s="58" t="inlineStr"/>
      <c r="F44" s="58" t="inlineStr"/>
      <c r="G44" s="58" t="inlineStr"/>
      <c r="H44" s="58" t="inlineStr"/>
    </row>
    <row r="45">
      <c r="A45" s="58" t="inlineStr">
        <is>
          <t>Rhode Island</t>
        </is>
      </c>
      <c r="B45" s="58" t="inlineStr">
        <is>
          <t>https://nsgic.memberclicks.net/states</t>
        </is>
      </c>
      <c r="C45" s="58" t="inlineStr">
        <is>
          <t>https://explorer.naco.org/</t>
        </is>
      </c>
      <c r="D45" s="58" t="inlineStr"/>
      <c r="E45" s="58" t="inlineStr"/>
      <c r="F45" s="58" t="inlineStr"/>
      <c r="G45" s="58" t="inlineStr"/>
      <c r="H45" s="58" t="inlineStr"/>
    </row>
    <row r="46">
      <c r="A46" s="58" t="inlineStr">
        <is>
          <t>South Carolina</t>
        </is>
      </c>
      <c r="B46" s="58" t="inlineStr">
        <is>
          <t>https://nsgic.memberclicks.net/states</t>
        </is>
      </c>
      <c r="C46" s="58" t="inlineStr">
        <is>
          <t>https://explorer.naco.org/</t>
        </is>
      </c>
      <c r="D46" s="58" t="inlineStr"/>
      <c r="E46" s="58" t="inlineStr"/>
      <c r="F46" s="58" t="inlineStr"/>
      <c r="G46" s="58" t="inlineStr"/>
      <c r="H46" s="58" t="inlineStr"/>
    </row>
    <row r="47">
      <c r="A47" s="58" t="inlineStr">
        <is>
          <t>South Dakota</t>
        </is>
      </c>
      <c r="B47" s="58" t="inlineStr">
        <is>
          <t>https://nsgic.memberclicks.net/states</t>
        </is>
      </c>
      <c r="C47" s="58" t="inlineStr">
        <is>
          <t>https://explorer.naco.org/</t>
        </is>
      </c>
      <c r="D47" s="58" t="inlineStr"/>
      <c r="E47" s="58" t="inlineStr"/>
      <c r="F47" s="58" t="inlineStr"/>
      <c r="G47" s="58" t="inlineStr"/>
      <c r="H47" s="58" t="inlineStr"/>
    </row>
    <row r="48">
      <c r="A48" s="58" t="inlineStr">
        <is>
          <t>Tennessee</t>
        </is>
      </c>
      <c r="B48" s="58" t="inlineStr">
        <is>
          <t>https://nsgic.memberclicks.net/states</t>
        </is>
      </c>
      <c r="C48" s="58" t="inlineStr">
        <is>
          <t>https://explorer.naco.org/</t>
        </is>
      </c>
      <c r="D48" s="58" t="inlineStr"/>
      <c r="E48" s="58" t="inlineStr"/>
      <c r="F48" s="58" t="inlineStr"/>
      <c r="G48" s="58" t="inlineStr"/>
      <c r="H48" s="58" t="inlineStr"/>
    </row>
    <row r="49">
      <c r="A49" s="58" t="inlineStr">
        <is>
          <t>Texas</t>
        </is>
      </c>
      <c r="B49" s="58" t="inlineStr">
        <is>
          <t>https://nsgic.memberclicks.net/states</t>
        </is>
      </c>
      <c r="C49" s="58" t="inlineStr">
        <is>
          <t>https://explorer.naco.org/</t>
        </is>
      </c>
      <c r="D49" s="58" t="inlineStr"/>
      <c r="E49" s="58" t="inlineStr"/>
      <c r="F49" s="58" t="inlineStr"/>
      <c r="G49" s="58" t="inlineStr"/>
      <c r="H49" s="58" t="inlineStr"/>
    </row>
    <row r="50">
      <c r="A50" s="58" t="inlineStr">
        <is>
          <t>Utah</t>
        </is>
      </c>
      <c r="B50" s="58" t="inlineStr">
        <is>
          <t>https://nsgic.memberclicks.net/states</t>
        </is>
      </c>
      <c r="C50" s="58" t="inlineStr">
        <is>
          <t>https://explorer.naco.org/</t>
        </is>
      </c>
      <c r="D50" s="58" t="inlineStr"/>
      <c r="E50" s="58" t="inlineStr"/>
      <c r="F50" s="58" t="inlineStr"/>
      <c r="G50" s="58" t="inlineStr"/>
      <c r="H50" s="58" t="inlineStr"/>
    </row>
    <row r="51">
      <c r="A51" s="58" t="inlineStr">
        <is>
          <t>Vermont</t>
        </is>
      </c>
      <c r="B51" s="58" t="inlineStr">
        <is>
          <t>https://nsgic.memberclicks.net/states</t>
        </is>
      </c>
      <c r="C51" s="58" t="inlineStr">
        <is>
          <t>https://explorer.naco.org/</t>
        </is>
      </c>
      <c r="D51" s="58" t="inlineStr"/>
      <c r="E51" s="58" t="inlineStr"/>
      <c r="F51" s="58" t="inlineStr"/>
      <c r="G51" s="58" t="inlineStr"/>
      <c r="H51" s="58" t="inlineStr"/>
    </row>
    <row r="52">
      <c r="A52" s="58" t="inlineStr">
        <is>
          <t>Virginia</t>
        </is>
      </c>
      <c r="B52" s="58" t="inlineStr">
        <is>
          <t>https://nsgic.memberclicks.net/states</t>
        </is>
      </c>
      <c r="C52" s="58" t="inlineStr">
        <is>
          <t>https://explorer.naco.org/</t>
        </is>
      </c>
      <c r="D52" s="58" t="inlineStr"/>
      <c r="E52" s="58" t="inlineStr"/>
      <c r="F52" s="58" t="inlineStr"/>
      <c r="G52" s="58" t="inlineStr"/>
      <c r="H52" s="58" t="inlineStr"/>
    </row>
    <row r="53">
      <c r="A53" s="58" t="inlineStr">
        <is>
          <t>Washington</t>
        </is>
      </c>
      <c r="B53" s="58" t="inlineStr">
        <is>
          <t>https://nsgic.memberclicks.net/states</t>
        </is>
      </c>
      <c r="C53" s="58" t="inlineStr">
        <is>
          <t>https://explorer.naco.org/</t>
        </is>
      </c>
      <c r="D53" s="58" t="inlineStr"/>
      <c r="E53" s="58" t="inlineStr"/>
      <c r="F53" s="58" t="inlineStr"/>
      <c r="G53" s="58" t="inlineStr"/>
      <c r="H53" s="58" t="inlineStr"/>
    </row>
    <row r="54">
      <c r="A54" s="58" t="inlineStr">
        <is>
          <t>West Virginia</t>
        </is>
      </c>
      <c r="B54" s="58" t="inlineStr">
        <is>
          <t>https://nsgic.memberclicks.net/states</t>
        </is>
      </c>
      <c r="C54" s="58" t="inlineStr">
        <is>
          <t>https://explorer.naco.org/</t>
        </is>
      </c>
      <c r="D54" s="58" t="inlineStr"/>
      <c r="E54" s="58" t="inlineStr"/>
      <c r="F54" s="58" t="inlineStr"/>
      <c r="G54" s="58" t="inlineStr"/>
      <c r="H54" s="58" t="inlineStr"/>
    </row>
    <row r="55">
      <c r="A55" s="58" t="inlineStr">
        <is>
          <t>Wisconsin</t>
        </is>
      </c>
      <c r="B55" s="58" t="inlineStr">
        <is>
          <t>https://nsgic.memberclicks.net/states</t>
        </is>
      </c>
      <c r="C55" s="58" t="inlineStr">
        <is>
          <t>https://explorer.naco.org/</t>
        </is>
      </c>
      <c r="D55" s="58" t="inlineStr"/>
      <c r="E55" s="58" t="inlineStr"/>
      <c r="F55" s="58" t="inlineStr"/>
      <c r="G55" s="58" t="inlineStr"/>
      <c r="H55" s="58" t="inlineStr"/>
    </row>
    <row r="56">
      <c r="A56" s="58" t="inlineStr">
        <is>
          <t>Wyoming</t>
        </is>
      </c>
      <c r="B56" s="58" t="inlineStr">
        <is>
          <t>https://nsgic.memberclicks.net/states</t>
        </is>
      </c>
      <c r="C56" s="58" t="inlineStr">
        <is>
          <t>https://explorer.naco.org/</t>
        </is>
      </c>
      <c r="D56" s="58" t="inlineStr"/>
      <c r="E56" s="58" t="inlineStr"/>
      <c r="F56" s="58" t="inlineStr"/>
      <c r="G56" s="58" t="inlineStr"/>
      <c r="H56" s="58" t="inlineStr"/>
    </row>
  </sheetData>
  <mergeCells count="2">
    <mergeCell ref="A2:H3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4" customWidth="1" min="4" max="4"/>
    <col width="34" customWidth="1" min="5" max="5"/>
    <col width="30" customWidth="1" min="6" max="6"/>
    <col width="30" customWidth="1" min="7" max="7"/>
    <col width="30" customWidth="1" min="8" max="8"/>
    <col width="30" customWidth="1" min="9" max="9"/>
    <col width="16" customWidth="1" min="10" max="10"/>
  </cols>
  <sheetData>
    <row r="1">
      <c r="A1" s="55" t="inlineStr">
        <is>
          <t>County Direct Links (Verified) — GIS / Assessor / Zoning / Permits</t>
        </is>
      </c>
    </row>
    <row r="2">
      <c r="A2" s="56" t="inlineStr">
        <is>
          <t>Goal: For every county you work, lock the DIRECT URLs once, then reuse forever. Rule: links must be official (county/city/state domains) unless the county officially hosts on ArcGIS/third-party.</t>
        </is>
      </c>
    </row>
    <row r="3"/>
    <row r="5">
      <c r="A5" s="57" t="inlineStr">
        <is>
          <t>State</t>
        </is>
      </c>
      <c r="B5" s="57" t="inlineStr">
        <is>
          <t>County</t>
        </is>
      </c>
      <c r="C5" s="57" t="inlineStr">
        <is>
          <t>County Official Site</t>
        </is>
      </c>
      <c r="D5" s="57" t="inlineStr">
        <is>
          <t>GIS / Parcel Viewer URL</t>
        </is>
      </c>
      <c r="E5" s="57" t="inlineStr">
        <is>
          <t>Assessor / Property Search URL</t>
        </is>
      </c>
      <c r="F5" s="57" t="inlineStr">
        <is>
          <t>Zoning / Planning URL</t>
        </is>
      </c>
      <c r="G5" s="57" t="inlineStr">
        <is>
          <t>Permits / Inspections URL</t>
        </is>
      </c>
      <c r="H5" s="57" t="inlineStr">
        <is>
          <t>Recorder / Deeds URL</t>
        </is>
      </c>
      <c r="I5" s="57" t="inlineStr">
        <is>
          <t>Utility Providers Page</t>
        </is>
      </c>
      <c r="J5" s="57" t="inlineStr">
        <is>
          <t>Last Verified</t>
        </is>
      </c>
    </row>
    <row r="6">
      <c r="A6" s="58" t="n"/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</row>
    <row r="7">
      <c r="A7" s="58" t="n"/>
      <c r="B7" s="58" t="n"/>
      <c r="C7" s="58" t="n"/>
      <c r="D7" s="58" t="n"/>
      <c r="E7" s="58" t="n"/>
      <c r="F7" s="58" t="n"/>
      <c r="G7" s="58" t="n"/>
      <c r="H7" s="58" t="n"/>
      <c r="I7" s="58" t="n"/>
      <c r="J7" s="58" t="n"/>
    </row>
    <row r="8">
      <c r="A8" s="58" t="n"/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</row>
    <row r="9">
      <c r="A9" s="58" t="n"/>
      <c r="B9" s="58" t="n"/>
      <c r="C9" s="58" t="n"/>
      <c r="D9" s="58" t="n"/>
      <c r="E9" s="58" t="n"/>
      <c r="F9" s="58" t="n"/>
      <c r="G9" s="58" t="n"/>
      <c r="H9" s="58" t="n"/>
      <c r="I9" s="58" t="n"/>
      <c r="J9" s="58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58" t="n"/>
      <c r="I11" s="58" t="n"/>
      <c r="J11" s="58" t="n"/>
    </row>
    <row r="12">
      <c r="A12" s="58" t="n"/>
      <c r="B12" s="58" t="n"/>
      <c r="C12" s="58" t="n"/>
      <c r="D12" s="58" t="n"/>
      <c r="E12" s="58" t="n"/>
      <c r="F12" s="58" t="n"/>
      <c r="G12" s="58" t="n"/>
      <c r="H12" s="58" t="n"/>
      <c r="I12" s="58" t="n"/>
      <c r="J12" s="58" t="n"/>
    </row>
    <row r="13">
      <c r="A13" s="58" t="n"/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</row>
    <row r="14">
      <c r="A14" s="58" t="n"/>
      <c r="B14" s="58" t="n"/>
      <c r="C14" s="58" t="n"/>
      <c r="D14" s="58" t="n"/>
      <c r="E14" s="58" t="n"/>
      <c r="F14" s="58" t="n"/>
      <c r="G14" s="58" t="n"/>
      <c r="H14" s="58" t="n"/>
      <c r="I14" s="58" t="n"/>
      <c r="J14" s="58" t="n"/>
    </row>
    <row r="15">
      <c r="A15" s="58" t="n"/>
      <c r="B15" s="58" t="n"/>
      <c r="C15" s="58" t="n"/>
      <c r="D15" s="58" t="n"/>
      <c r="E15" s="58" t="n"/>
      <c r="F15" s="58" t="n"/>
      <c r="G15" s="58" t="n"/>
      <c r="H15" s="58" t="n"/>
      <c r="I15" s="58" t="n"/>
      <c r="J15" s="58" t="n"/>
    </row>
    <row r="16">
      <c r="A16" s="58" t="n"/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</row>
    <row r="18">
      <c r="A18" s="58" t="n"/>
      <c r="B18" s="58" t="n"/>
      <c r="C18" s="58" t="n"/>
      <c r="D18" s="58" t="n"/>
      <c r="E18" s="58" t="n"/>
      <c r="F18" s="58" t="n"/>
      <c r="G18" s="58" t="n"/>
      <c r="H18" s="58" t="n"/>
      <c r="I18" s="58" t="n"/>
      <c r="J18" s="58" t="n"/>
    </row>
    <row r="19">
      <c r="A19" s="58" t="n"/>
      <c r="B19" s="58" t="n"/>
      <c r="C19" s="58" t="n"/>
      <c r="D19" s="58" t="n"/>
      <c r="E19" s="58" t="n"/>
      <c r="F19" s="58" t="n"/>
      <c r="G19" s="58" t="n"/>
      <c r="H19" s="58" t="n"/>
      <c r="I19" s="58" t="n"/>
      <c r="J19" s="58" t="n"/>
    </row>
    <row r="20">
      <c r="A20" s="58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</row>
    <row r="21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</row>
    <row r="22">
      <c r="A22" s="58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</row>
    <row r="23">
      <c r="A23" s="58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</row>
    <row r="24">
      <c r="A24" s="58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</row>
    <row r="25">
      <c r="A25" s="58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</row>
    <row r="26">
      <c r="A26" s="58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</row>
    <row r="27">
      <c r="A27" s="58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</row>
    <row r="28">
      <c r="A28" s="58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</row>
    <row r="29">
      <c r="A29" s="58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</row>
    <row r="30">
      <c r="A30" s="58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</row>
    <row r="31">
      <c r="A31" s="58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</row>
    <row r="32">
      <c r="A32" s="58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</row>
    <row r="33">
      <c r="A33" s="58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</row>
    <row r="34">
      <c r="A34" s="58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</row>
    <row r="35">
      <c r="A35" s="58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</row>
    <row r="36">
      <c r="A36" s="58" t="n"/>
      <c r="B36" s="58" t="n"/>
      <c r="C36" s="58" t="n"/>
      <c r="D36" s="58" t="n"/>
      <c r="E36" s="58" t="n"/>
      <c r="F36" s="58" t="n"/>
      <c r="G36" s="58" t="n"/>
      <c r="H36" s="58" t="n"/>
      <c r="I36" s="58" t="n"/>
      <c r="J36" s="58" t="n"/>
    </row>
    <row r="37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</row>
    <row r="38">
      <c r="A38" s="58" t="n"/>
      <c r="B38" s="58" t="n"/>
      <c r="C38" s="58" t="n"/>
      <c r="D38" s="58" t="n"/>
      <c r="E38" s="58" t="n"/>
      <c r="F38" s="58" t="n"/>
      <c r="G38" s="58" t="n"/>
      <c r="H38" s="58" t="n"/>
      <c r="I38" s="58" t="n"/>
      <c r="J38" s="58" t="n"/>
    </row>
    <row r="39">
      <c r="A39" s="58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</row>
    <row r="40">
      <c r="A40" s="58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</row>
    <row r="41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</row>
    <row r="42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</row>
    <row r="43">
      <c r="A43" s="58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</row>
    <row r="44">
      <c r="A44" s="58" t="n"/>
      <c r="B44" s="58" t="n"/>
      <c r="C44" s="58" t="n"/>
      <c r="D44" s="58" t="n"/>
      <c r="E44" s="58" t="n"/>
      <c r="F44" s="58" t="n"/>
      <c r="G44" s="58" t="n"/>
      <c r="H44" s="58" t="n"/>
      <c r="I44" s="58" t="n"/>
      <c r="J44" s="58" t="n"/>
    </row>
    <row r="45">
      <c r="A45" s="58" t="n"/>
      <c r="B45" s="58" t="n"/>
      <c r="C45" s="58" t="n"/>
      <c r="D45" s="58" t="n"/>
      <c r="E45" s="58" t="n"/>
      <c r="F45" s="58" t="n"/>
      <c r="G45" s="58" t="n"/>
      <c r="H45" s="58" t="n"/>
      <c r="I45" s="58" t="n"/>
      <c r="J45" s="58" t="n"/>
    </row>
    <row r="46">
      <c r="A46" s="58" t="n"/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</row>
    <row r="47">
      <c r="A47" s="58" t="n"/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</row>
    <row r="48">
      <c r="A48" s="58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</row>
    <row r="4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</row>
    <row r="50">
      <c r="A50" s="58" t="n"/>
      <c r="B50" s="58" t="n"/>
      <c r="C50" s="58" t="n"/>
      <c r="D50" s="58" t="n"/>
      <c r="E50" s="58" t="n"/>
      <c r="F50" s="58" t="n"/>
      <c r="G50" s="58" t="n"/>
      <c r="H50" s="58" t="n"/>
      <c r="I50" s="58" t="n"/>
      <c r="J50" s="58" t="n"/>
    </row>
    <row r="51">
      <c r="A51" s="58" t="n"/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</row>
    <row r="52">
      <c r="A52" s="58" t="n"/>
      <c r="B52" s="58" t="n"/>
      <c r="C52" s="58" t="n"/>
      <c r="D52" s="58" t="n"/>
      <c r="E52" s="58" t="n"/>
      <c r="F52" s="58" t="n"/>
      <c r="G52" s="58" t="n"/>
      <c r="H52" s="58" t="n"/>
      <c r="I52" s="58" t="n"/>
      <c r="J52" s="58" t="n"/>
    </row>
    <row r="53">
      <c r="A53" s="58" t="n"/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</row>
    <row r="54">
      <c r="A54" s="58" t="n"/>
      <c r="B54" s="58" t="n"/>
      <c r="C54" s="58" t="n"/>
      <c r="D54" s="58" t="n"/>
      <c r="E54" s="58" t="n"/>
      <c r="F54" s="58" t="n"/>
      <c r="G54" s="58" t="n"/>
      <c r="H54" s="58" t="n"/>
      <c r="I54" s="58" t="n"/>
      <c r="J54" s="58" t="n"/>
    </row>
    <row r="55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</row>
    <row r="56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</row>
    <row r="57">
      <c r="A57" s="58" t="n"/>
      <c r="B57" s="58" t="n"/>
      <c r="C57" s="58" t="n"/>
      <c r="D57" s="58" t="n"/>
      <c r="E57" s="58" t="n"/>
      <c r="F57" s="58" t="n"/>
      <c r="G57" s="58" t="n"/>
      <c r="H57" s="58" t="n"/>
      <c r="I57" s="58" t="n"/>
      <c r="J57" s="58" t="n"/>
    </row>
    <row r="58">
      <c r="A58" s="58" t="n"/>
      <c r="B58" s="58" t="n"/>
      <c r="C58" s="58" t="n"/>
      <c r="D58" s="58" t="n"/>
      <c r="E58" s="58" t="n"/>
      <c r="F58" s="58" t="n"/>
      <c r="G58" s="58" t="n"/>
      <c r="H58" s="58" t="n"/>
      <c r="I58" s="58" t="n"/>
      <c r="J58" s="58" t="n"/>
    </row>
    <row r="59">
      <c r="A59" s="58" t="n"/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</row>
    <row r="60">
      <c r="A60" s="58" t="n"/>
      <c r="B60" s="58" t="n"/>
      <c r="C60" s="58" t="n"/>
      <c r="D60" s="58" t="n"/>
      <c r="E60" s="58" t="n"/>
      <c r="F60" s="58" t="n"/>
      <c r="G60" s="58" t="n"/>
      <c r="H60" s="58" t="n"/>
      <c r="I60" s="58" t="n"/>
      <c r="J60" s="58" t="n"/>
    </row>
    <row r="61">
      <c r="A61" s="58" t="n"/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</row>
    <row r="62">
      <c r="A62" s="58" t="n"/>
      <c r="B62" s="58" t="n"/>
      <c r="C62" s="58" t="n"/>
      <c r="D62" s="58" t="n"/>
      <c r="E62" s="58" t="n"/>
      <c r="F62" s="58" t="n"/>
      <c r="G62" s="58" t="n"/>
      <c r="H62" s="58" t="n"/>
      <c r="I62" s="58" t="n"/>
      <c r="J62" s="58" t="n"/>
    </row>
    <row r="63">
      <c r="A63" s="58" t="n"/>
      <c r="B63" s="58" t="n"/>
      <c r="C63" s="58" t="n"/>
      <c r="D63" s="58" t="n"/>
      <c r="E63" s="58" t="n"/>
      <c r="F63" s="58" t="n"/>
      <c r="G63" s="58" t="n"/>
      <c r="H63" s="58" t="n"/>
      <c r="I63" s="58" t="n"/>
      <c r="J63" s="58" t="n"/>
    </row>
    <row r="64">
      <c r="A64" s="58" t="n"/>
      <c r="B64" s="58" t="n"/>
      <c r="C64" s="58" t="n"/>
      <c r="D64" s="58" t="n"/>
      <c r="E64" s="58" t="n"/>
      <c r="F64" s="58" t="n"/>
      <c r="G64" s="58" t="n"/>
      <c r="H64" s="58" t="n"/>
      <c r="I64" s="58" t="n"/>
      <c r="J64" s="58" t="n"/>
    </row>
    <row r="65">
      <c r="A65" s="58" t="n"/>
      <c r="B65" s="58" t="n"/>
      <c r="C65" s="58" t="n"/>
      <c r="D65" s="58" t="n"/>
      <c r="E65" s="58" t="n"/>
      <c r="F65" s="58" t="n"/>
      <c r="G65" s="58" t="n"/>
      <c r="H65" s="58" t="n"/>
      <c r="I65" s="58" t="n"/>
      <c r="J65" s="58" t="n"/>
    </row>
    <row r="66">
      <c r="A66" s="58" t="n"/>
      <c r="B66" s="58" t="n"/>
      <c r="C66" s="58" t="n"/>
      <c r="D66" s="58" t="n"/>
      <c r="E66" s="58" t="n"/>
      <c r="F66" s="58" t="n"/>
      <c r="G66" s="58" t="n"/>
      <c r="H66" s="58" t="n"/>
      <c r="I66" s="58" t="n"/>
      <c r="J66" s="58" t="n"/>
    </row>
    <row r="67">
      <c r="A67" s="58" t="n"/>
      <c r="B67" s="58" t="n"/>
      <c r="C67" s="58" t="n"/>
      <c r="D67" s="58" t="n"/>
      <c r="E67" s="58" t="n"/>
      <c r="F67" s="58" t="n"/>
      <c r="G67" s="58" t="n"/>
      <c r="H67" s="58" t="n"/>
      <c r="I67" s="58" t="n"/>
      <c r="J67" s="58" t="n"/>
    </row>
    <row r="68">
      <c r="A68" s="58" t="n"/>
      <c r="B68" s="58" t="n"/>
      <c r="C68" s="58" t="n"/>
      <c r="D68" s="58" t="n"/>
      <c r="E68" s="58" t="n"/>
      <c r="F68" s="58" t="n"/>
      <c r="G68" s="58" t="n"/>
      <c r="H68" s="58" t="n"/>
      <c r="I68" s="58" t="n"/>
      <c r="J68" s="58" t="n"/>
    </row>
    <row r="69">
      <c r="A69" s="58" t="n"/>
      <c r="B69" s="58" t="n"/>
      <c r="C69" s="58" t="n"/>
      <c r="D69" s="58" t="n"/>
      <c r="E69" s="58" t="n"/>
      <c r="F69" s="58" t="n"/>
      <c r="G69" s="58" t="n"/>
      <c r="H69" s="58" t="n"/>
      <c r="I69" s="58" t="n"/>
      <c r="J69" s="58" t="n"/>
    </row>
    <row r="70">
      <c r="A70" s="58" t="n"/>
      <c r="B70" s="58" t="n"/>
      <c r="C70" s="58" t="n"/>
      <c r="D70" s="58" t="n"/>
      <c r="E70" s="58" t="n"/>
      <c r="F70" s="58" t="n"/>
      <c r="G70" s="58" t="n"/>
      <c r="H70" s="58" t="n"/>
      <c r="I70" s="58" t="n"/>
      <c r="J70" s="58" t="n"/>
    </row>
    <row r="71">
      <c r="A71" s="58" t="n"/>
      <c r="B71" s="58" t="n"/>
      <c r="C71" s="58" t="n"/>
      <c r="D71" s="58" t="n"/>
      <c r="E71" s="58" t="n"/>
      <c r="F71" s="58" t="n"/>
      <c r="G71" s="58" t="n"/>
      <c r="H71" s="58" t="n"/>
      <c r="I71" s="58" t="n"/>
      <c r="J71" s="58" t="n"/>
    </row>
    <row r="72">
      <c r="A72" s="58" t="n"/>
      <c r="B72" s="58" t="n"/>
      <c r="C72" s="58" t="n"/>
      <c r="D72" s="58" t="n"/>
      <c r="E72" s="58" t="n"/>
      <c r="F72" s="58" t="n"/>
      <c r="G72" s="58" t="n"/>
      <c r="H72" s="58" t="n"/>
      <c r="I72" s="58" t="n"/>
      <c r="J72" s="58" t="n"/>
    </row>
    <row r="73">
      <c r="A73" s="58" t="n"/>
      <c r="B73" s="58" t="n"/>
      <c r="C73" s="58" t="n"/>
      <c r="D73" s="58" t="n"/>
      <c r="E73" s="58" t="n"/>
      <c r="F73" s="58" t="n"/>
      <c r="G73" s="58" t="n"/>
      <c r="H73" s="58" t="n"/>
      <c r="I73" s="58" t="n"/>
      <c r="J73" s="58" t="n"/>
    </row>
    <row r="74">
      <c r="A74" s="58" t="n"/>
      <c r="B74" s="58" t="n"/>
      <c r="C74" s="58" t="n"/>
      <c r="D74" s="58" t="n"/>
      <c r="E74" s="58" t="n"/>
      <c r="F74" s="58" t="n"/>
      <c r="G74" s="58" t="n"/>
      <c r="H74" s="58" t="n"/>
      <c r="I74" s="58" t="n"/>
      <c r="J74" s="58" t="n"/>
    </row>
    <row r="75">
      <c r="A75" s="58" t="n"/>
      <c r="B75" s="58" t="n"/>
      <c r="C75" s="58" t="n"/>
      <c r="D75" s="58" t="n"/>
      <c r="E75" s="58" t="n"/>
      <c r="F75" s="58" t="n"/>
      <c r="G75" s="58" t="n"/>
      <c r="H75" s="58" t="n"/>
      <c r="I75" s="58" t="n"/>
      <c r="J75" s="58" t="n"/>
    </row>
    <row r="76">
      <c r="A76" s="58" t="n"/>
      <c r="B76" s="58" t="n"/>
      <c r="C76" s="58" t="n"/>
      <c r="D76" s="58" t="n"/>
      <c r="E76" s="58" t="n"/>
      <c r="F76" s="58" t="n"/>
      <c r="G76" s="58" t="n"/>
      <c r="H76" s="58" t="n"/>
      <c r="I76" s="58" t="n"/>
      <c r="J76" s="58" t="n"/>
    </row>
    <row r="77">
      <c r="A77" s="58" t="n"/>
      <c r="B77" s="58" t="n"/>
      <c r="C77" s="58" t="n"/>
      <c r="D77" s="58" t="n"/>
      <c r="E77" s="58" t="n"/>
      <c r="F77" s="58" t="n"/>
      <c r="G77" s="58" t="n"/>
      <c r="H77" s="58" t="n"/>
      <c r="I77" s="58" t="n"/>
      <c r="J77" s="58" t="n"/>
    </row>
    <row r="78">
      <c r="A78" s="58" t="n"/>
      <c r="B78" s="58" t="n"/>
      <c r="C78" s="58" t="n"/>
      <c r="D78" s="58" t="n"/>
      <c r="E78" s="58" t="n"/>
      <c r="F78" s="58" t="n"/>
      <c r="G78" s="58" t="n"/>
      <c r="H78" s="58" t="n"/>
      <c r="I78" s="58" t="n"/>
      <c r="J78" s="58" t="n"/>
    </row>
    <row r="79">
      <c r="A79" s="58" t="n"/>
      <c r="B79" s="58" t="n"/>
      <c r="C79" s="58" t="n"/>
      <c r="D79" s="58" t="n"/>
      <c r="E79" s="58" t="n"/>
      <c r="F79" s="58" t="n"/>
      <c r="G79" s="58" t="n"/>
      <c r="H79" s="58" t="n"/>
      <c r="I79" s="58" t="n"/>
      <c r="J79" s="58" t="n"/>
    </row>
    <row r="80">
      <c r="A80" s="58" t="n"/>
      <c r="B80" s="58" t="n"/>
      <c r="C80" s="58" t="n"/>
      <c r="D80" s="58" t="n"/>
      <c r="E80" s="58" t="n"/>
      <c r="F80" s="58" t="n"/>
      <c r="G80" s="58" t="n"/>
      <c r="H80" s="58" t="n"/>
      <c r="I80" s="58" t="n"/>
      <c r="J80" s="58" t="n"/>
    </row>
    <row r="81">
      <c r="A81" s="58" t="n"/>
      <c r="B81" s="58" t="n"/>
      <c r="C81" s="58" t="n"/>
      <c r="D81" s="58" t="n"/>
      <c r="E81" s="58" t="n"/>
      <c r="F81" s="58" t="n"/>
      <c r="G81" s="58" t="n"/>
      <c r="H81" s="58" t="n"/>
      <c r="I81" s="58" t="n"/>
      <c r="J81" s="58" t="n"/>
    </row>
    <row r="82">
      <c r="A82" s="58" t="n"/>
      <c r="B82" s="58" t="n"/>
      <c r="C82" s="58" t="n"/>
      <c r="D82" s="58" t="n"/>
      <c r="E82" s="58" t="n"/>
      <c r="F82" s="58" t="n"/>
      <c r="G82" s="58" t="n"/>
      <c r="H82" s="58" t="n"/>
      <c r="I82" s="58" t="n"/>
      <c r="J82" s="58" t="n"/>
    </row>
    <row r="83">
      <c r="A83" s="58" t="n"/>
      <c r="B83" s="58" t="n"/>
      <c r="C83" s="58" t="n"/>
      <c r="D83" s="58" t="n"/>
      <c r="E83" s="58" t="n"/>
      <c r="F83" s="58" t="n"/>
      <c r="G83" s="58" t="n"/>
      <c r="H83" s="58" t="n"/>
      <c r="I83" s="58" t="n"/>
      <c r="J83" s="58" t="n"/>
    </row>
    <row r="84">
      <c r="A84" s="58" t="n"/>
      <c r="B84" s="58" t="n"/>
      <c r="C84" s="58" t="n"/>
      <c r="D84" s="58" t="n"/>
      <c r="E84" s="58" t="n"/>
      <c r="F84" s="58" t="n"/>
      <c r="G84" s="58" t="n"/>
      <c r="H84" s="58" t="n"/>
      <c r="I84" s="58" t="n"/>
      <c r="J84" s="58" t="n"/>
    </row>
    <row r="85">
      <c r="A85" s="58" t="n"/>
      <c r="B85" s="58" t="n"/>
      <c r="C85" s="58" t="n"/>
      <c r="D85" s="58" t="n"/>
      <c r="E85" s="58" t="n"/>
      <c r="F85" s="58" t="n"/>
      <c r="G85" s="58" t="n"/>
      <c r="H85" s="58" t="n"/>
      <c r="I85" s="58" t="n"/>
      <c r="J85" s="58" t="n"/>
    </row>
    <row r="86">
      <c r="A86" s="58" t="n"/>
      <c r="B86" s="58" t="n"/>
      <c r="C86" s="58" t="n"/>
      <c r="D86" s="58" t="n"/>
      <c r="E86" s="58" t="n"/>
      <c r="F86" s="58" t="n"/>
      <c r="G86" s="58" t="n"/>
      <c r="H86" s="58" t="n"/>
      <c r="I86" s="58" t="n"/>
      <c r="J86" s="58" t="n"/>
    </row>
    <row r="87">
      <c r="A87" s="58" t="n"/>
      <c r="B87" s="58" t="n"/>
      <c r="C87" s="58" t="n"/>
      <c r="D87" s="58" t="n"/>
      <c r="E87" s="58" t="n"/>
      <c r="F87" s="58" t="n"/>
      <c r="G87" s="58" t="n"/>
      <c r="H87" s="58" t="n"/>
      <c r="I87" s="58" t="n"/>
      <c r="J87" s="58" t="n"/>
    </row>
    <row r="88">
      <c r="A88" s="58" t="n"/>
      <c r="B88" s="58" t="n"/>
      <c r="C88" s="58" t="n"/>
      <c r="D88" s="58" t="n"/>
      <c r="E88" s="58" t="n"/>
      <c r="F88" s="58" t="n"/>
      <c r="G88" s="58" t="n"/>
      <c r="H88" s="58" t="n"/>
      <c r="I88" s="58" t="n"/>
      <c r="J88" s="58" t="n"/>
    </row>
    <row r="89">
      <c r="A89" s="58" t="n"/>
      <c r="B89" s="58" t="n"/>
      <c r="C89" s="58" t="n"/>
      <c r="D89" s="58" t="n"/>
      <c r="E89" s="58" t="n"/>
      <c r="F89" s="58" t="n"/>
      <c r="G89" s="58" t="n"/>
      <c r="H89" s="58" t="n"/>
      <c r="I89" s="58" t="n"/>
      <c r="J89" s="58" t="n"/>
    </row>
    <row r="90">
      <c r="A90" s="58" t="n"/>
      <c r="B90" s="58" t="n"/>
      <c r="C90" s="58" t="n"/>
      <c r="D90" s="58" t="n"/>
      <c r="E90" s="58" t="n"/>
      <c r="F90" s="58" t="n"/>
      <c r="G90" s="58" t="n"/>
      <c r="H90" s="58" t="n"/>
      <c r="I90" s="58" t="n"/>
      <c r="J90" s="58" t="n"/>
    </row>
    <row r="91">
      <c r="A91" s="58" t="n"/>
      <c r="B91" s="58" t="n"/>
      <c r="C91" s="58" t="n"/>
      <c r="D91" s="58" t="n"/>
      <c r="E91" s="58" t="n"/>
      <c r="F91" s="58" t="n"/>
      <c r="G91" s="58" t="n"/>
      <c r="H91" s="58" t="n"/>
      <c r="I91" s="58" t="n"/>
      <c r="J91" s="58" t="n"/>
    </row>
    <row r="92">
      <c r="A92" s="58" t="n"/>
      <c r="B92" s="58" t="n"/>
      <c r="C92" s="58" t="n"/>
      <c r="D92" s="58" t="n"/>
      <c r="E92" s="58" t="n"/>
      <c r="F92" s="58" t="n"/>
      <c r="G92" s="58" t="n"/>
      <c r="H92" s="58" t="n"/>
      <c r="I92" s="58" t="n"/>
      <c r="J92" s="58" t="n"/>
    </row>
    <row r="93">
      <c r="A93" s="58" t="n"/>
      <c r="B93" s="58" t="n"/>
      <c r="C93" s="58" t="n"/>
      <c r="D93" s="58" t="n"/>
      <c r="E93" s="58" t="n"/>
      <c r="F93" s="58" t="n"/>
      <c r="G93" s="58" t="n"/>
      <c r="H93" s="58" t="n"/>
      <c r="I93" s="58" t="n"/>
      <c r="J93" s="58" t="n"/>
    </row>
    <row r="94">
      <c r="A94" s="58" t="n"/>
      <c r="B94" s="58" t="n"/>
      <c r="C94" s="58" t="n"/>
      <c r="D94" s="58" t="n"/>
      <c r="E94" s="58" t="n"/>
      <c r="F94" s="58" t="n"/>
      <c r="G94" s="58" t="n"/>
      <c r="H94" s="58" t="n"/>
      <c r="I94" s="58" t="n"/>
      <c r="J94" s="58" t="n"/>
    </row>
    <row r="95">
      <c r="A95" s="58" t="n"/>
      <c r="B95" s="58" t="n"/>
      <c r="C95" s="58" t="n"/>
      <c r="D95" s="58" t="n"/>
      <c r="E95" s="58" t="n"/>
      <c r="F95" s="58" t="n"/>
      <c r="G95" s="58" t="n"/>
      <c r="H95" s="58" t="n"/>
      <c r="I95" s="58" t="n"/>
      <c r="J95" s="58" t="n"/>
    </row>
    <row r="96">
      <c r="A96" s="58" t="n"/>
      <c r="B96" s="58" t="n"/>
      <c r="C96" s="58" t="n"/>
      <c r="D96" s="58" t="n"/>
      <c r="E96" s="58" t="n"/>
      <c r="F96" s="58" t="n"/>
      <c r="G96" s="58" t="n"/>
      <c r="H96" s="58" t="n"/>
      <c r="I96" s="58" t="n"/>
      <c r="J96" s="58" t="n"/>
    </row>
    <row r="97">
      <c r="A97" s="58" t="n"/>
      <c r="B97" s="58" t="n"/>
      <c r="C97" s="58" t="n"/>
      <c r="D97" s="58" t="n"/>
      <c r="E97" s="58" t="n"/>
      <c r="F97" s="58" t="n"/>
      <c r="G97" s="58" t="n"/>
      <c r="H97" s="58" t="n"/>
      <c r="I97" s="58" t="n"/>
      <c r="J97" s="58" t="n"/>
    </row>
    <row r="98">
      <c r="A98" s="58" t="n"/>
      <c r="B98" s="58" t="n"/>
      <c r="C98" s="58" t="n"/>
      <c r="D98" s="58" t="n"/>
      <c r="E98" s="58" t="n"/>
      <c r="F98" s="58" t="n"/>
      <c r="G98" s="58" t="n"/>
      <c r="H98" s="58" t="n"/>
      <c r="I98" s="58" t="n"/>
      <c r="J98" s="58" t="n"/>
    </row>
    <row r="99">
      <c r="A99" s="58" t="n"/>
      <c r="B99" s="58" t="n"/>
      <c r="C99" s="58" t="n"/>
      <c r="D99" s="58" t="n"/>
      <c r="E99" s="58" t="n"/>
      <c r="F99" s="58" t="n"/>
      <c r="G99" s="58" t="n"/>
      <c r="H99" s="58" t="n"/>
      <c r="I99" s="58" t="n"/>
      <c r="J99" s="58" t="n"/>
    </row>
    <row r="100">
      <c r="A100" s="58" t="n"/>
      <c r="B100" s="58" t="n"/>
      <c r="C100" s="58" t="n"/>
      <c r="D100" s="58" t="n"/>
      <c r="E100" s="58" t="n"/>
      <c r="F100" s="58" t="n"/>
      <c r="G100" s="58" t="n"/>
      <c r="H100" s="58" t="n"/>
      <c r="I100" s="58" t="n"/>
      <c r="J100" s="58" t="n"/>
    </row>
    <row r="101">
      <c r="A101" s="58" t="n"/>
      <c r="B101" s="58" t="n"/>
      <c r="C101" s="58" t="n"/>
      <c r="D101" s="58" t="n"/>
      <c r="E101" s="58" t="n"/>
      <c r="F101" s="58" t="n"/>
      <c r="G101" s="58" t="n"/>
      <c r="H101" s="58" t="n"/>
      <c r="I101" s="58" t="n"/>
      <c r="J101" s="58" t="n"/>
    </row>
    <row r="102">
      <c r="A102" s="58" t="n"/>
      <c r="B102" s="58" t="n"/>
      <c r="C102" s="58" t="n"/>
      <c r="D102" s="58" t="n"/>
      <c r="E102" s="58" t="n"/>
      <c r="F102" s="58" t="n"/>
      <c r="G102" s="58" t="n"/>
      <c r="H102" s="58" t="n"/>
      <c r="I102" s="58" t="n"/>
      <c r="J102" s="58" t="n"/>
    </row>
    <row r="103">
      <c r="A103" s="58" t="n"/>
      <c r="B103" s="58" t="n"/>
      <c r="C103" s="58" t="n"/>
      <c r="D103" s="58" t="n"/>
      <c r="E103" s="58" t="n"/>
      <c r="F103" s="58" t="n"/>
      <c r="G103" s="58" t="n"/>
      <c r="H103" s="58" t="n"/>
      <c r="I103" s="58" t="n"/>
      <c r="J103" s="58" t="n"/>
    </row>
    <row r="104">
      <c r="A104" s="58" t="n"/>
      <c r="B104" s="58" t="n"/>
      <c r="C104" s="58" t="n"/>
      <c r="D104" s="58" t="n"/>
      <c r="E104" s="58" t="n"/>
      <c r="F104" s="58" t="n"/>
      <c r="G104" s="58" t="n"/>
      <c r="H104" s="58" t="n"/>
      <c r="I104" s="58" t="n"/>
      <c r="J104" s="58" t="n"/>
    </row>
    <row r="105">
      <c r="A105" s="58" t="n"/>
      <c r="B105" s="58" t="n"/>
      <c r="C105" s="58" t="n"/>
      <c r="D105" s="58" t="n"/>
      <c r="E105" s="58" t="n"/>
      <c r="F105" s="58" t="n"/>
      <c r="G105" s="58" t="n"/>
      <c r="H105" s="58" t="n"/>
      <c r="I105" s="58" t="n"/>
      <c r="J105" s="58" t="n"/>
    </row>
    <row r="106">
      <c r="A106" s="58" t="n"/>
      <c r="B106" s="58" t="n"/>
      <c r="C106" s="58" t="n"/>
      <c r="D106" s="58" t="n"/>
      <c r="E106" s="58" t="n"/>
      <c r="F106" s="58" t="n"/>
      <c r="G106" s="58" t="n"/>
      <c r="H106" s="58" t="n"/>
      <c r="I106" s="58" t="n"/>
      <c r="J106" s="58" t="n"/>
    </row>
    <row r="107">
      <c r="A107" s="58" t="n"/>
      <c r="B107" s="58" t="n"/>
      <c r="C107" s="58" t="n"/>
      <c r="D107" s="58" t="n"/>
      <c r="E107" s="58" t="n"/>
      <c r="F107" s="58" t="n"/>
      <c r="G107" s="58" t="n"/>
      <c r="H107" s="58" t="n"/>
      <c r="I107" s="58" t="n"/>
      <c r="J107" s="58" t="n"/>
    </row>
    <row r="108">
      <c r="A108" s="58" t="n"/>
      <c r="B108" s="58" t="n"/>
      <c r="C108" s="58" t="n"/>
      <c r="D108" s="58" t="n"/>
      <c r="E108" s="58" t="n"/>
      <c r="F108" s="58" t="n"/>
      <c r="G108" s="58" t="n"/>
      <c r="H108" s="58" t="n"/>
      <c r="I108" s="58" t="n"/>
      <c r="J108" s="58" t="n"/>
    </row>
    <row r="109">
      <c r="A109" s="58" t="n"/>
      <c r="B109" s="58" t="n"/>
      <c r="C109" s="58" t="n"/>
      <c r="D109" s="58" t="n"/>
      <c r="E109" s="58" t="n"/>
      <c r="F109" s="58" t="n"/>
      <c r="G109" s="58" t="n"/>
      <c r="H109" s="58" t="n"/>
      <c r="I109" s="58" t="n"/>
      <c r="J109" s="58" t="n"/>
    </row>
    <row r="110">
      <c r="A110" s="58" t="n"/>
      <c r="B110" s="58" t="n"/>
      <c r="C110" s="58" t="n"/>
      <c r="D110" s="58" t="n"/>
      <c r="E110" s="58" t="n"/>
      <c r="F110" s="58" t="n"/>
      <c r="G110" s="58" t="n"/>
      <c r="H110" s="58" t="n"/>
      <c r="I110" s="58" t="n"/>
      <c r="J110" s="58" t="n"/>
    </row>
    <row r="111">
      <c r="A111" s="58" t="n"/>
      <c r="B111" s="58" t="n"/>
      <c r="C111" s="58" t="n"/>
      <c r="D111" s="58" t="n"/>
      <c r="E111" s="58" t="n"/>
      <c r="F111" s="58" t="n"/>
      <c r="G111" s="58" t="n"/>
      <c r="H111" s="58" t="n"/>
      <c r="I111" s="58" t="n"/>
      <c r="J111" s="58" t="n"/>
    </row>
    <row r="112">
      <c r="A112" s="58" t="n"/>
      <c r="B112" s="58" t="n"/>
      <c r="C112" s="58" t="n"/>
      <c r="D112" s="58" t="n"/>
      <c r="E112" s="58" t="n"/>
      <c r="F112" s="58" t="n"/>
      <c r="G112" s="58" t="n"/>
      <c r="H112" s="58" t="n"/>
      <c r="I112" s="58" t="n"/>
      <c r="J112" s="58" t="n"/>
    </row>
    <row r="113">
      <c r="A113" s="58" t="n"/>
      <c r="B113" s="58" t="n"/>
      <c r="C113" s="58" t="n"/>
      <c r="D113" s="58" t="n"/>
      <c r="E113" s="58" t="n"/>
      <c r="F113" s="58" t="n"/>
      <c r="G113" s="58" t="n"/>
      <c r="H113" s="58" t="n"/>
      <c r="I113" s="58" t="n"/>
      <c r="J113" s="58" t="n"/>
    </row>
    <row r="114">
      <c r="A114" s="58" t="n"/>
      <c r="B114" s="58" t="n"/>
      <c r="C114" s="58" t="n"/>
      <c r="D114" s="58" t="n"/>
      <c r="E114" s="58" t="n"/>
      <c r="F114" s="58" t="n"/>
      <c r="G114" s="58" t="n"/>
      <c r="H114" s="58" t="n"/>
      <c r="I114" s="58" t="n"/>
      <c r="J114" s="58" t="n"/>
    </row>
    <row r="115">
      <c r="A115" s="58" t="n"/>
      <c r="B115" s="58" t="n"/>
      <c r="C115" s="58" t="n"/>
      <c r="D115" s="58" t="n"/>
      <c r="E115" s="58" t="n"/>
      <c r="F115" s="58" t="n"/>
      <c r="G115" s="58" t="n"/>
      <c r="H115" s="58" t="n"/>
      <c r="I115" s="58" t="n"/>
      <c r="J115" s="58" t="n"/>
    </row>
    <row r="116">
      <c r="A116" s="58" t="n"/>
      <c r="B116" s="58" t="n"/>
      <c r="C116" s="58" t="n"/>
      <c r="D116" s="58" t="n"/>
      <c r="E116" s="58" t="n"/>
      <c r="F116" s="58" t="n"/>
      <c r="G116" s="58" t="n"/>
      <c r="H116" s="58" t="n"/>
      <c r="I116" s="58" t="n"/>
      <c r="J116" s="58" t="n"/>
    </row>
    <row r="117">
      <c r="A117" s="58" t="n"/>
      <c r="B117" s="58" t="n"/>
      <c r="C117" s="58" t="n"/>
      <c r="D117" s="58" t="n"/>
      <c r="E117" s="58" t="n"/>
      <c r="F117" s="58" t="n"/>
      <c r="G117" s="58" t="n"/>
      <c r="H117" s="58" t="n"/>
      <c r="I117" s="58" t="n"/>
      <c r="J117" s="58" t="n"/>
    </row>
    <row r="118">
      <c r="A118" s="58" t="n"/>
      <c r="B118" s="58" t="n"/>
      <c r="C118" s="58" t="n"/>
      <c r="D118" s="58" t="n"/>
      <c r="E118" s="58" t="n"/>
      <c r="F118" s="58" t="n"/>
      <c r="G118" s="58" t="n"/>
      <c r="H118" s="58" t="n"/>
      <c r="I118" s="58" t="n"/>
      <c r="J118" s="58" t="n"/>
    </row>
    <row r="119">
      <c r="A119" s="58" t="n"/>
      <c r="B119" s="58" t="n"/>
      <c r="C119" s="58" t="n"/>
      <c r="D119" s="58" t="n"/>
      <c r="E119" s="58" t="n"/>
      <c r="F119" s="58" t="n"/>
      <c r="G119" s="58" t="n"/>
      <c r="H119" s="58" t="n"/>
      <c r="I119" s="58" t="n"/>
      <c r="J119" s="58" t="n"/>
    </row>
    <row r="120">
      <c r="A120" s="58" t="n"/>
      <c r="B120" s="58" t="n"/>
      <c r="C120" s="58" t="n"/>
      <c r="D120" s="58" t="n"/>
      <c r="E120" s="58" t="n"/>
      <c r="F120" s="58" t="n"/>
      <c r="G120" s="58" t="n"/>
      <c r="H120" s="58" t="n"/>
      <c r="I120" s="58" t="n"/>
      <c r="J120" s="58" t="n"/>
    </row>
    <row r="121">
      <c r="A121" s="58" t="n"/>
      <c r="B121" s="58" t="n"/>
      <c r="C121" s="58" t="n"/>
      <c r="D121" s="58" t="n"/>
      <c r="E121" s="58" t="n"/>
      <c r="F121" s="58" t="n"/>
      <c r="G121" s="58" t="n"/>
      <c r="H121" s="58" t="n"/>
      <c r="I121" s="58" t="n"/>
      <c r="J121" s="58" t="n"/>
    </row>
    <row r="122">
      <c r="A122" s="58" t="n"/>
      <c r="B122" s="58" t="n"/>
      <c r="C122" s="58" t="n"/>
      <c r="D122" s="58" t="n"/>
      <c r="E122" s="58" t="n"/>
      <c r="F122" s="58" t="n"/>
      <c r="G122" s="58" t="n"/>
      <c r="H122" s="58" t="n"/>
      <c r="I122" s="58" t="n"/>
      <c r="J122" s="58" t="n"/>
    </row>
    <row r="123">
      <c r="A123" s="58" t="n"/>
      <c r="B123" s="58" t="n"/>
      <c r="C123" s="58" t="n"/>
      <c r="D123" s="58" t="n"/>
      <c r="E123" s="58" t="n"/>
      <c r="F123" s="58" t="n"/>
      <c r="G123" s="58" t="n"/>
      <c r="H123" s="58" t="n"/>
      <c r="I123" s="58" t="n"/>
      <c r="J123" s="58" t="n"/>
    </row>
    <row r="124">
      <c r="A124" s="58" t="n"/>
      <c r="B124" s="58" t="n"/>
      <c r="C124" s="58" t="n"/>
      <c r="D124" s="58" t="n"/>
      <c r="E124" s="58" t="n"/>
      <c r="F124" s="58" t="n"/>
      <c r="G124" s="58" t="n"/>
      <c r="H124" s="58" t="n"/>
      <c r="I124" s="58" t="n"/>
      <c r="J124" s="58" t="n"/>
    </row>
    <row r="125">
      <c r="A125" s="58" t="n"/>
      <c r="B125" s="58" t="n"/>
      <c r="C125" s="58" t="n"/>
      <c r="D125" s="58" t="n"/>
      <c r="E125" s="58" t="n"/>
      <c r="F125" s="58" t="n"/>
      <c r="G125" s="58" t="n"/>
      <c r="H125" s="58" t="n"/>
      <c r="I125" s="58" t="n"/>
      <c r="J125" s="58" t="n"/>
    </row>
    <row r="126">
      <c r="A126" s="58" t="n"/>
      <c r="B126" s="58" t="n"/>
      <c r="C126" s="58" t="n"/>
      <c r="D126" s="58" t="n"/>
      <c r="E126" s="58" t="n"/>
      <c r="F126" s="58" t="n"/>
      <c r="G126" s="58" t="n"/>
      <c r="H126" s="58" t="n"/>
      <c r="I126" s="58" t="n"/>
      <c r="J126" s="58" t="n"/>
    </row>
    <row r="127">
      <c r="A127" s="58" t="n"/>
      <c r="B127" s="58" t="n"/>
      <c r="C127" s="58" t="n"/>
      <c r="D127" s="58" t="n"/>
      <c r="E127" s="58" t="n"/>
      <c r="F127" s="58" t="n"/>
      <c r="G127" s="58" t="n"/>
      <c r="H127" s="58" t="n"/>
      <c r="I127" s="58" t="n"/>
      <c r="J127" s="58" t="n"/>
    </row>
    <row r="128">
      <c r="A128" s="58" t="n"/>
      <c r="B128" s="58" t="n"/>
      <c r="C128" s="58" t="n"/>
      <c r="D128" s="58" t="n"/>
      <c r="E128" s="58" t="n"/>
      <c r="F128" s="58" t="n"/>
      <c r="G128" s="58" t="n"/>
      <c r="H128" s="58" t="n"/>
      <c r="I128" s="58" t="n"/>
      <c r="J128" s="58" t="n"/>
    </row>
    <row r="129">
      <c r="A129" s="58" t="n"/>
      <c r="B129" s="58" t="n"/>
      <c r="C129" s="58" t="n"/>
      <c r="D129" s="58" t="n"/>
      <c r="E129" s="58" t="n"/>
      <c r="F129" s="58" t="n"/>
      <c r="G129" s="58" t="n"/>
      <c r="H129" s="58" t="n"/>
      <c r="I129" s="58" t="n"/>
      <c r="J129" s="58" t="n"/>
    </row>
    <row r="130">
      <c r="A130" s="58" t="n"/>
      <c r="B130" s="58" t="n"/>
      <c r="C130" s="58" t="n"/>
      <c r="D130" s="58" t="n"/>
      <c r="E130" s="58" t="n"/>
      <c r="F130" s="58" t="n"/>
      <c r="G130" s="58" t="n"/>
      <c r="H130" s="58" t="n"/>
      <c r="I130" s="58" t="n"/>
      <c r="J130" s="58" t="n"/>
    </row>
    <row r="131">
      <c r="A131" s="58" t="n"/>
      <c r="B131" s="58" t="n"/>
      <c r="C131" s="58" t="n"/>
      <c r="D131" s="58" t="n"/>
      <c r="E131" s="58" t="n"/>
      <c r="F131" s="58" t="n"/>
      <c r="G131" s="58" t="n"/>
      <c r="H131" s="58" t="n"/>
      <c r="I131" s="58" t="n"/>
      <c r="J131" s="58" t="n"/>
    </row>
    <row r="132">
      <c r="A132" s="58" t="n"/>
      <c r="B132" s="58" t="n"/>
      <c r="C132" s="58" t="n"/>
      <c r="D132" s="58" t="n"/>
      <c r="E132" s="58" t="n"/>
      <c r="F132" s="58" t="n"/>
      <c r="G132" s="58" t="n"/>
      <c r="H132" s="58" t="n"/>
      <c r="I132" s="58" t="n"/>
      <c r="J132" s="58" t="n"/>
    </row>
    <row r="133">
      <c r="A133" s="58" t="n"/>
      <c r="B133" s="58" t="n"/>
      <c r="C133" s="58" t="n"/>
      <c r="D133" s="58" t="n"/>
      <c r="E133" s="58" t="n"/>
      <c r="F133" s="58" t="n"/>
      <c r="G133" s="58" t="n"/>
      <c r="H133" s="58" t="n"/>
      <c r="I133" s="58" t="n"/>
      <c r="J133" s="58" t="n"/>
    </row>
    <row r="134">
      <c r="A134" s="58" t="n"/>
      <c r="B134" s="58" t="n"/>
      <c r="C134" s="58" t="n"/>
      <c r="D134" s="58" t="n"/>
      <c r="E134" s="58" t="n"/>
      <c r="F134" s="58" t="n"/>
      <c r="G134" s="58" t="n"/>
      <c r="H134" s="58" t="n"/>
      <c r="I134" s="58" t="n"/>
      <c r="J134" s="58" t="n"/>
    </row>
    <row r="135">
      <c r="A135" s="58" t="n"/>
      <c r="B135" s="58" t="n"/>
      <c r="C135" s="58" t="n"/>
      <c r="D135" s="58" t="n"/>
      <c r="E135" s="58" t="n"/>
      <c r="F135" s="58" t="n"/>
      <c r="G135" s="58" t="n"/>
      <c r="H135" s="58" t="n"/>
      <c r="I135" s="58" t="n"/>
      <c r="J135" s="58" t="n"/>
    </row>
    <row r="136">
      <c r="A136" s="58" t="n"/>
      <c r="B136" s="58" t="n"/>
      <c r="C136" s="58" t="n"/>
      <c r="D136" s="58" t="n"/>
      <c r="E136" s="58" t="n"/>
      <c r="F136" s="58" t="n"/>
      <c r="G136" s="58" t="n"/>
      <c r="H136" s="58" t="n"/>
      <c r="I136" s="58" t="n"/>
      <c r="J136" s="58" t="n"/>
    </row>
    <row r="137">
      <c r="A137" s="58" t="n"/>
      <c r="B137" s="58" t="n"/>
      <c r="C137" s="58" t="n"/>
      <c r="D137" s="58" t="n"/>
      <c r="E137" s="58" t="n"/>
      <c r="F137" s="58" t="n"/>
      <c r="G137" s="58" t="n"/>
      <c r="H137" s="58" t="n"/>
      <c r="I137" s="58" t="n"/>
      <c r="J137" s="58" t="n"/>
    </row>
    <row r="138">
      <c r="A138" s="58" t="n"/>
      <c r="B138" s="58" t="n"/>
      <c r="C138" s="58" t="n"/>
      <c r="D138" s="58" t="n"/>
      <c r="E138" s="58" t="n"/>
      <c r="F138" s="58" t="n"/>
      <c r="G138" s="58" t="n"/>
      <c r="H138" s="58" t="n"/>
      <c r="I138" s="58" t="n"/>
      <c r="J138" s="58" t="n"/>
    </row>
    <row r="139">
      <c r="A139" s="58" t="n"/>
      <c r="B139" s="58" t="n"/>
      <c r="C139" s="58" t="n"/>
      <c r="D139" s="58" t="n"/>
      <c r="E139" s="58" t="n"/>
      <c r="F139" s="58" t="n"/>
      <c r="G139" s="58" t="n"/>
      <c r="H139" s="58" t="n"/>
      <c r="I139" s="58" t="n"/>
      <c r="J139" s="58" t="n"/>
    </row>
    <row r="140">
      <c r="A140" s="58" t="n"/>
      <c r="B140" s="58" t="n"/>
      <c r="C140" s="58" t="n"/>
      <c r="D140" s="58" t="n"/>
      <c r="E140" s="58" t="n"/>
      <c r="F140" s="58" t="n"/>
      <c r="G140" s="58" t="n"/>
      <c r="H140" s="58" t="n"/>
      <c r="I140" s="58" t="n"/>
      <c r="J140" s="58" t="n"/>
    </row>
    <row r="141">
      <c r="A141" s="58" t="n"/>
      <c r="B141" s="58" t="n"/>
      <c r="C141" s="58" t="n"/>
      <c r="D141" s="58" t="n"/>
      <c r="E141" s="58" t="n"/>
      <c r="F141" s="58" t="n"/>
      <c r="G141" s="58" t="n"/>
      <c r="H141" s="58" t="n"/>
      <c r="I141" s="58" t="n"/>
      <c r="J141" s="58" t="n"/>
    </row>
    <row r="142">
      <c r="A142" s="58" t="n"/>
      <c r="B142" s="58" t="n"/>
      <c r="C142" s="58" t="n"/>
      <c r="D142" s="58" t="n"/>
      <c r="E142" s="58" t="n"/>
      <c r="F142" s="58" t="n"/>
      <c r="G142" s="58" t="n"/>
      <c r="H142" s="58" t="n"/>
      <c r="I142" s="58" t="n"/>
      <c r="J142" s="58" t="n"/>
    </row>
    <row r="143">
      <c r="A143" s="58" t="n"/>
      <c r="B143" s="58" t="n"/>
      <c r="C143" s="58" t="n"/>
      <c r="D143" s="58" t="n"/>
      <c r="E143" s="58" t="n"/>
      <c r="F143" s="58" t="n"/>
      <c r="G143" s="58" t="n"/>
      <c r="H143" s="58" t="n"/>
      <c r="I143" s="58" t="n"/>
      <c r="J143" s="58" t="n"/>
    </row>
    <row r="144">
      <c r="A144" s="58" t="n"/>
      <c r="B144" s="58" t="n"/>
      <c r="C144" s="58" t="n"/>
      <c r="D144" s="58" t="n"/>
      <c r="E144" s="58" t="n"/>
      <c r="F144" s="58" t="n"/>
      <c r="G144" s="58" t="n"/>
      <c r="H144" s="58" t="n"/>
      <c r="I144" s="58" t="n"/>
      <c r="J144" s="58" t="n"/>
    </row>
    <row r="145">
      <c r="A145" s="58" t="n"/>
      <c r="B145" s="58" t="n"/>
      <c r="C145" s="58" t="n"/>
      <c r="D145" s="58" t="n"/>
      <c r="E145" s="58" t="n"/>
      <c r="F145" s="58" t="n"/>
      <c r="G145" s="58" t="n"/>
      <c r="H145" s="58" t="n"/>
      <c r="I145" s="58" t="n"/>
      <c r="J145" s="58" t="n"/>
    </row>
    <row r="146">
      <c r="A146" s="58" t="n"/>
      <c r="B146" s="58" t="n"/>
      <c r="C146" s="58" t="n"/>
      <c r="D146" s="58" t="n"/>
      <c r="E146" s="58" t="n"/>
      <c r="F146" s="58" t="n"/>
      <c r="G146" s="58" t="n"/>
      <c r="H146" s="58" t="n"/>
      <c r="I146" s="58" t="n"/>
      <c r="J146" s="58" t="n"/>
    </row>
    <row r="147">
      <c r="A147" s="58" t="n"/>
      <c r="B147" s="58" t="n"/>
      <c r="C147" s="58" t="n"/>
      <c r="D147" s="58" t="n"/>
      <c r="E147" s="58" t="n"/>
      <c r="F147" s="58" t="n"/>
      <c r="G147" s="58" t="n"/>
      <c r="H147" s="58" t="n"/>
      <c r="I147" s="58" t="n"/>
      <c r="J147" s="58" t="n"/>
    </row>
    <row r="148">
      <c r="A148" s="58" t="n"/>
      <c r="B148" s="58" t="n"/>
      <c r="C148" s="58" t="n"/>
      <c r="D148" s="58" t="n"/>
      <c r="E148" s="58" t="n"/>
      <c r="F148" s="58" t="n"/>
      <c r="G148" s="58" t="n"/>
      <c r="H148" s="58" t="n"/>
      <c r="I148" s="58" t="n"/>
      <c r="J148" s="58" t="n"/>
    </row>
    <row r="149">
      <c r="A149" s="58" t="n"/>
      <c r="B149" s="58" t="n"/>
      <c r="C149" s="58" t="n"/>
      <c r="D149" s="58" t="n"/>
      <c r="E149" s="58" t="n"/>
      <c r="F149" s="58" t="n"/>
      <c r="G149" s="58" t="n"/>
      <c r="H149" s="58" t="n"/>
      <c r="I149" s="58" t="n"/>
      <c r="J149" s="58" t="n"/>
    </row>
    <row r="150">
      <c r="A150" s="58" t="n"/>
      <c r="B150" s="58" t="n"/>
      <c r="C150" s="58" t="n"/>
      <c r="D150" s="58" t="n"/>
      <c r="E150" s="58" t="n"/>
      <c r="F150" s="58" t="n"/>
      <c r="G150" s="58" t="n"/>
      <c r="H150" s="58" t="n"/>
      <c r="I150" s="58" t="n"/>
      <c r="J150" s="58" t="n"/>
    </row>
    <row r="151">
      <c r="A151" s="58" t="n"/>
      <c r="B151" s="58" t="n"/>
      <c r="C151" s="58" t="n"/>
      <c r="D151" s="58" t="n"/>
      <c r="E151" s="58" t="n"/>
      <c r="F151" s="58" t="n"/>
      <c r="G151" s="58" t="n"/>
      <c r="H151" s="58" t="n"/>
      <c r="I151" s="58" t="n"/>
      <c r="J151" s="58" t="n"/>
    </row>
    <row r="152">
      <c r="A152" s="58" t="n"/>
      <c r="B152" s="58" t="n"/>
      <c r="C152" s="58" t="n"/>
      <c r="D152" s="58" t="n"/>
      <c r="E152" s="58" t="n"/>
      <c r="F152" s="58" t="n"/>
      <c r="G152" s="58" t="n"/>
      <c r="H152" s="58" t="n"/>
      <c r="I152" s="58" t="n"/>
      <c r="J152" s="58" t="n"/>
    </row>
    <row r="153">
      <c r="A153" s="58" t="n"/>
      <c r="B153" s="58" t="n"/>
      <c r="C153" s="58" t="n"/>
      <c r="D153" s="58" t="n"/>
      <c r="E153" s="58" t="n"/>
      <c r="F153" s="58" t="n"/>
      <c r="G153" s="58" t="n"/>
      <c r="H153" s="58" t="n"/>
      <c r="I153" s="58" t="n"/>
      <c r="J153" s="58" t="n"/>
    </row>
    <row r="154">
      <c r="A154" s="58" t="n"/>
      <c r="B154" s="58" t="n"/>
      <c r="C154" s="58" t="n"/>
      <c r="D154" s="58" t="n"/>
      <c r="E154" s="58" t="n"/>
      <c r="F154" s="58" t="n"/>
      <c r="G154" s="58" t="n"/>
      <c r="H154" s="58" t="n"/>
      <c r="I154" s="58" t="n"/>
      <c r="J154" s="58" t="n"/>
    </row>
    <row r="155">
      <c r="A155" s="58" t="n"/>
      <c r="B155" s="58" t="n"/>
      <c r="C155" s="58" t="n"/>
      <c r="D155" s="58" t="n"/>
      <c r="E155" s="58" t="n"/>
      <c r="F155" s="58" t="n"/>
      <c r="G155" s="58" t="n"/>
      <c r="H155" s="58" t="n"/>
      <c r="I155" s="58" t="n"/>
      <c r="J155" s="58" t="n"/>
    </row>
    <row r="156">
      <c r="A156" s="58" t="n"/>
      <c r="B156" s="58" t="n"/>
      <c r="C156" s="58" t="n"/>
      <c r="D156" s="58" t="n"/>
      <c r="E156" s="58" t="n"/>
      <c r="F156" s="58" t="n"/>
      <c r="G156" s="58" t="n"/>
      <c r="H156" s="58" t="n"/>
      <c r="I156" s="58" t="n"/>
      <c r="J156" s="58" t="n"/>
    </row>
    <row r="157">
      <c r="A157" s="58" t="n"/>
      <c r="B157" s="58" t="n"/>
      <c r="C157" s="58" t="n"/>
      <c r="D157" s="58" t="n"/>
      <c r="E157" s="58" t="n"/>
      <c r="F157" s="58" t="n"/>
      <c r="G157" s="58" t="n"/>
      <c r="H157" s="58" t="n"/>
      <c r="I157" s="58" t="n"/>
      <c r="J157" s="58" t="n"/>
    </row>
    <row r="158">
      <c r="A158" s="58" t="n"/>
      <c r="B158" s="58" t="n"/>
      <c r="C158" s="58" t="n"/>
      <c r="D158" s="58" t="n"/>
      <c r="E158" s="58" t="n"/>
      <c r="F158" s="58" t="n"/>
      <c r="G158" s="58" t="n"/>
      <c r="H158" s="58" t="n"/>
      <c r="I158" s="58" t="n"/>
      <c r="J158" s="58" t="n"/>
    </row>
    <row r="159">
      <c r="A159" s="58" t="n"/>
      <c r="B159" s="58" t="n"/>
      <c r="C159" s="58" t="n"/>
      <c r="D159" s="58" t="n"/>
      <c r="E159" s="58" t="n"/>
      <c r="F159" s="58" t="n"/>
      <c r="G159" s="58" t="n"/>
      <c r="H159" s="58" t="n"/>
      <c r="I159" s="58" t="n"/>
      <c r="J159" s="58" t="n"/>
    </row>
    <row r="160">
      <c r="A160" s="58" t="n"/>
      <c r="B160" s="58" t="n"/>
      <c r="C160" s="58" t="n"/>
      <c r="D160" s="58" t="n"/>
      <c r="E160" s="58" t="n"/>
      <c r="F160" s="58" t="n"/>
      <c r="G160" s="58" t="n"/>
      <c r="H160" s="58" t="n"/>
      <c r="I160" s="58" t="n"/>
      <c r="J160" s="58" t="n"/>
    </row>
    <row r="161">
      <c r="A161" s="58" t="n"/>
      <c r="B161" s="58" t="n"/>
      <c r="C161" s="58" t="n"/>
      <c r="D161" s="58" t="n"/>
      <c r="E161" s="58" t="n"/>
      <c r="F161" s="58" t="n"/>
      <c r="G161" s="58" t="n"/>
      <c r="H161" s="58" t="n"/>
      <c r="I161" s="58" t="n"/>
      <c r="J161" s="58" t="n"/>
    </row>
    <row r="162">
      <c r="A162" s="58" t="n"/>
      <c r="B162" s="58" t="n"/>
      <c r="C162" s="58" t="n"/>
      <c r="D162" s="58" t="n"/>
      <c r="E162" s="58" t="n"/>
      <c r="F162" s="58" t="n"/>
      <c r="G162" s="58" t="n"/>
      <c r="H162" s="58" t="n"/>
      <c r="I162" s="58" t="n"/>
      <c r="J162" s="58" t="n"/>
    </row>
    <row r="163">
      <c r="A163" s="58" t="n"/>
      <c r="B163" s="58" t="n"/>
      <c r="C163" s="58" t="n"/>
      <c r="D163" s="58" t="n"/>
      <c r="E163" s="58" t="n"/>
      <c r="F163" s="58" t="n"/>
      <c r="G163" s="58" t="n"/>
      <c r="H163" s="58" t="n"/>
      <c r="I163" s="58" t="n"/>
      <c r="J163" s="58" t="n"/>
    </row>
    <row r="164">
      <c r="A164" s="58" t="n"/>
      <c r="B164" s="58" t="n"/>
      <c r="C164" s="58" t="n"/>
      <c r="D164" s="58" t="n"/>
      <c r="E164" s="58" t="n"/>
      <c r="F164" s="58" t="n"/>
      <c r="G164" s="58" t="n"/>
      <c r="H164" s="58" t="n"/>
      <c r="I164" s="58" t="n"/>
      <c r="J164" s="58" t="n"/>
    </row>
    <row r="165">
      <c r="A165" s="58" t="n"/>
      <c r="B165" s="58" t="n"/>
      <c r="C165" s="58" t="n"/>
      <c r="D165" s="58" t="n"/>
      <c r="E165" s="58" t="n"/>
      <c r="F165" s="58" t="n"/>
      <c r="G165" s="58" t="n"/>
      <c r="H165" s="58" t="n"/>
      <c r="I165" s="58" t="n"/>
      <c r="J165" s="58" t="n"/>
    </row>
    <row r="166">
      <c r="A166" s="58" t="n"/>
      <c r="B166" s="58" t="n"/>
      <c r="C166" s="58" t="n"/>
      <c r="D166" s="58" t="n"/>
      <c r="E166" s="58" t="n"/>
      <c r="F166" s="58" t="n"/>
      <c r="G166" s="58" t="n"/>
      <c r="H166" s="58" t="n"/>
      <c r="I166" s="58" t="n"/>
      <c r="J166" s="58" t="n"/>
    </row>
    <row r="167">
      <c r="A167" s="58" t="n"/>
      <c r="B167" s="58" t="n"/>
      <c r="C167" s="58" t="n"/>
      <c r="D167" s="58" t="n"/>
      <c r="E167" s="58" t="n"/>
      <c r="F167" s="58" t="n"/>
      <c r="G167" s="58" t="n"/>
      <c r="H167" s="58" t="n"/>
      <c r="I167" s="58" t="n"/>
      <c r="J167" s="58" t="n"/>
    </row>
    <row r="168">
      <c r="A168" s="58" t="n"/>
      <c r="B168" s="58" t="n"/>
      <c r="C168" s="58" t="n"/>
      <c r="D168" s="58" t="n"/>
      <c r="E168" s="58" t="n"/>
      <c r="F168" s="58" t="n"/>
      <c r="G168" s="58" t="n"/>
      <c r="H168" s="58" t="n"/>
      <c r="I168" s="58" t="n"/>
      <c r="J168" s="58" t="n"/>
    </row>
    <row r="169">
      <c r="A169" s="58" t="n"/>
      <c r="B169" s="58" t="n"/>
      <c r="C169" s="58" t="n"/>
      <c r="D169" s="58" t="n"/>
      <c r="E169" s="58" t="n"/>
      <c r="F169" s="58" t="n"/>
      <c r="G169" s="58" t="n"/>
      <c r="H169" s="58" t="n"/>
      <c r="I169" s="58" t="n"/>
      <c r="J169" s="58" t="n"/>
    </row>
    <row r="170">
      <c r="A170" s="58" t="n"/>
      <c r="B170" s="58" t="n"/>
      <c r="C170" s="58" t="n"/>
      <c r="D170" s="58" t="n"/>
      <c r="E170" s="58" t="n"/>
      <c r="F170" s="58" t="n"/>
      <c r="G170" s="58" t="n"/>
      <c r="H170" s="58" t="n"/>
      <c r="I170" s="58" t="n"/>
      <c r="J170" s="58" t="n"/>
    </row>
    <row r="171">
      <c r="A171" s="58" t="n"/>
      <c r="B171" s="58" t="n"/>
      <c r="C171" s="58" t="n"/>
      <c r="D171" s="58" t="n"/>
      <c r="E171" s="58" t="n"/>
      <c r="F171" s="58" t="n"/>
      <c r="G171" s="58" t="n"/>
      <c r="H171" s="58" t="n"/>
      <c r="I171" s="58" t="n"/>
      <c r="J171" s="58" t="n"/>
    </row>
    <row r="172">
      <c r="A172" s="58" t="n"/>
      <c r="B172" s="58" t="n"/>
      <c r="C172" s="58" t="n"/>
      <c r="D172" s="58" t="n"/>
      <c r="E172" s="58" t="n"/>
      <c r="F172" s="58" t="n"/>
      <c r="G172" s="58" t="n"/>
      <c r="H172" s="58" t="n"/>
      <c r="I172" s="58" t="n"/>
      <c r="J172" s="58" t="n"/>
    </row>
    <row r="173">
      <c r="A173" s="58" t="n"/>
      <c r="B173" s="58" t="n"/>
      <c r="C173" s="58" t="n"/>
      <c r="D173" s="58" t="n"/>
      <c r="E173" s="58" t="n"/>
      <c r="F173" s="58" t="n"/>
      <c r="G173" s="58" t="n"/>
      <c r="H173" s="58" t="n"/>
      <c r="I173" s="58" t="n"/>
      <c r="J173" s="58" t="n"/>
    </row>
    <row r="174">
      <c r="A174" s="58" t="n"/>
      <c r="B174" s="58" t="n"/>
      <c r="C174" s="58" t="n"/>
      <c r="D174" s="58" t="n"/>
      <c r="E174" s="58" t="n"/>
      <c r="F174" s="58" t="n"/>
      <c r="G174" s="58" t="n"/>
      <c r="H174" s="58" t="n"/>
      <c r="I174" s="58" t="n"/>
      <c r="J174" s="58" t="n"/>
    </row>
    <row r="175">
      <c r="A175" s="58" t="n"/>
      <c r="B175" s="58" t="n"/>
      <c r="C175" s="58" t="n"/>
      <c r="D175" s="58" t="n"/>
      <c r="E175" s="58" t="n"/>
      <c r="F175" s="58" t="n"/>
      <c r="G175" s="58" t="n"/>
      <c r="H175" s="58" t="n"/>
      <c r="I175" s="58" t="n"/>
      <c r="J175" s="58" t="n"/>
    </row>
    <row r="176">
      <c r="A176" s="58" t="n"/>
      <c r="B176" s="58" t="n"/>
      <c r="C176" s="58" t="n"/>
      <c r="D176" s="58" t="n"/>
      <c r="E176" s="58" t="n"/>
      <c r="F176" s="58" t="n"/>
      <c r="G176" s="58" t="n"/>
      <c r="H176" s="58" t="n"/>
      <c r="I176" s="58" t="n"/>
      <c r="J176" s="58" t="n"/>
    </row>
    <row r="177">
      <c r="A177" s="58" t="n"/>
      <c r="B177" s="58" t="n"/>
      <c r="C177" s="58" t="n"/>
      <c r="D177" s="58" t="n"/>
      <c r="E177" s="58" t="n"/>
      <c r="F177" s="58" t="n"/>
      <c r="G177" s="58" t="n"/>
      <c r="H177" s="58" t="n"/>
      <c r="I177" s="58" t="n"/>
      <c r="J177" s="58" t="n"/>
    </row>
    <row r="178">
      <c r="A178" s="58" t="n"/>
      <c r="B178" s="58" t="n"/>
      <c r="C178" s="58" t="n"/>
      <c r="D178" s="58" t="n"/>
      <c r="E178" s="58" t="n"/>
      <c r="F178" s="58" t="n"/>
      <c r="G178" s="58" t="n"/>
      <c r="H178" s="58" t="n"/>
      <c r="I178" s="58" t="n"/>
      <c r="J178" s="58" t="n"/>
    </row>
    <row r="179">
      <c r="A179" s="58" t="n"/>
      <c r="B179" s="58" t="n"/>
      <c r="C179" s="58" t="n"/>
      <c r="D179" s="58" t="n"/>
      <c r="E179" s="58" t="n"/>
      <c r="F179" s="58" t="n"/>
      <c r="G179" s="58" t="n"/>
      <c r="H179" s="58" t="n"/>
      <c r="I179" s="58" t="n"/>
      <c r="J179" s="58" t="n"/>
    </row>
    <row r="180">
      <c r="A180" s="58" t="n"/>
      <c r="B180" s="58" t="n"/>
      <c r="C180" s="58" t="n"/>
      <c r="D180" s="58" t="n"/>
      <c r="E180" s="58" t="n"/>
      <c r="F180" s="58" t="n"/>
      <c r="G180" s="58" t="n"/>
      <c r="H180" s="58" t="n"/>
      <c r="I180" s="58" t="n"/>
      <c r="J180" s="58" t="n"/>
    </row>
    <row r="181">
      <c r="A181" s="58" t="n"/>
      <c r="B181" s="58" t="n"/>
      <c r="C181" s="58" t="n"/>
      <c r="D181" s="58" t="n"/>
      <c r="E181" s="58" t="n"/>
      <c r="F181" s="58" t="n"/>
      <c r="G181" s="58" t="n"/>
      <c r="H181" s="58" t="n"/>
      <c r="I181" s="58" t="n"/>
      <c r="J181" s="58" t="n"/>
    </row>
    <row r="182">
      <c r="A182" s="58" t="n"/>
      <c r="B182" s="58" t="n"/>
      <c r="C182" s="58" t="n"/>
      <c r="D182" s="58" t="n"/>
      <c r="E182" s="58" t="n"/>
      <c r="F182" s="58" t="n"/>
      <c r="G182" s="58" t="n"/>
      <c r="H182" s="58" t="n"/>
      <c r="I182" s="58" t="n"/>
      <c r="J182" s="58" t="n"/>
    </row>
    <row r="183">
      <c r="A183" s="58" t="n"/>
      <c r="B183" s="58" t="n"/>
      <c r="C183" s="58" t="n"/>
      <c r="D183" s="58" t="n"/>
      <c r="E183" s="58" t="n"/>
      <c r="F183" s="58" t="n"/>
      <c r="G183" s="58" t="n"/>
      <c r="H183" s="58" t="n"/>
      <c r="I183" s="58" t="n"/>
      <c r="J183" s="58" t="n"/>
    </row>
    <row r="184">
      <c r="A184" s="58" t="n"/>
      <c r="B184" s="58" t="n"/>
      <c r="C184" s="58" t="n"/>
      <c r="D184" s="58" t="n"/>
      <c r="E184" s="58" t="n"/>
      <c r="F184" s="58" t="n"/>
      <c r="G184" s="58" t="n"/>
      <c r="H184" s="58" t="n"/>
      <c r="I184" s="58" t="n"/>
      <c r="J184" s="58" t="n"/>
    </row>
    <row r="185">
      <c r="A185" s="58" t="n"/>
      <c r="B185" s="58" t="n"/>
      <c r="C185" s="58" t="n"/>
      <c r="D185" s="58" t="n"/>
      <c r="E185" s="58" t="n"/>
      <c r="F185" s="58" t="n"/>
      <c r="G185" s="58" t="n"/>
      <c r="H185" s="58" t="n"/>
      <c r="I185" s="58" t="n"/>
      <c r="J185" s="58" t="n"/>
    </row>
    <row r="186">
      <c r="A186" s="58" t="n"/>
      <c r="B186" s="58" t="n"/>
      <c r="C186" s="58" t="n"/>
      <c r="D186" s="58" t="n"/>
      <c r="E186" s="58" t="n"/>
      <c r="F186" s="58" t="n"/>
      <c r="G186" s="58" t="n"/>
      <c r="H186" s="58" t="n"/>
      <c r="I186" s="58" t="n"/>
      <c r="J186" s="58" t="n"/>
    </row>
    <row r="187">
      <c r="A187" s="58" t="n"/>
      <c r="B187" s="58" t="n"/>
      <c r="C187" s="58" t="n"/>
      <c r="D187" s="58" t="n"/>
      <c r="E187" s="58" t="n"/>
      <c r="F187" s="58" t="n"/>
      <c r="G187" s="58" t="n"/>
      <c r="H187" s="58" t="n"/>
      <c r="I187" s="58" t="n"/>
      <c r="J187" s="58" t="n"/>
    </row>
    <row r="188">
      <c r="A188" s="58" t="n"/>
      <c r="B188" s="58" t="n"/>
      <c r="C188" s="58" t="n"/>
      <c r="D188" s="58" t="n"/>
      <c r="E188" s="58" t="n"/>
      <c r="F188" s="58" t="n"/>
      <c r="G188" s="58" t="n"/>
      <c r="H188" s="58" t="n"/>
      <c r="I188" s="58" t="n"/>
      <c r="J188" s="58" t="n"/>
    </row>
    <row r="189">
      <c r="A189" s="58" t="n"/>
      <c r="B189" s="58" t="n"/>
      <c r="C189" s="58" t="n"/>
      <c r="D189" s="58" t="n"/>
      <c r="E189" s="58" t="n"/>
      <c r="F189" s="58" t="n"/>
      <c r="G189" s="58" t="n"/>
      <c r="H189" s="58" t="n"/>
      <c r="I189" s="58" t="n"/>
      <c r="J189" s="58" t="n"/>
    </row>
    <row r="190">
      <c r="A190" s="58" t="n"/>
      <c r="B190" s="58" t="n"/>
      <c r="C190" s="58" t="n"/>
      <c r="D190" s="58" t="n"/>
      <c r="E190" s="58" t="n"/>
      <c r="F190" s="58" t="n"/>
      <c r="G190" s="58" t="n"/>
      <c r="H190" s="58" t="n"/>
      <c r="I190" s="58" t="n"/>
      <c r="J190" s="58" t="n"/>
    </row>
    <row r="191">
      <c r="A191" s="58" t="n"/>
      <c r="B191" s="58" t="n"/>
      <c r="C191" s="58" t="n"/>
      <c r="D191" s="58" t="n"/>
      <c r="E191" s="58" t="n"/>
      <c r="F191" s="58" t="n"/>
      <c r="G191" s="58" t="n"/>
      <c r="H191" s="58" t="n"/>
      <c r="I191" s="58" t="n"/>
      <c r="J191" s="58" t="n"/>
    </row>
    <row r="192">
      <c r="A192" s="58" t="n"/>
      <c r="B192" s="58" t="n"/>
      <c r="C192" s="58" t="n"/>
      <c r="D192" s="58" t="n"/>
      <c r="E192" s="58" t="n"/>
      <c r="F192" s="58" t="n"/>
      <c r="G192" s="58" t="n"/>
      <c r="H192" s="58" t="n"/>
      <c r="I192" s="58" t="n"/>
      <c r="J192" s="58" t="n"/>
    </row>
    <row r="193">
      <c r="A193" s="58" t="n"/>
      <c r="B193" s="58" t="n"/>
      <c r="C193" s="58" t="n"/>
      <c r="D193" s="58" t="n"/>
      <c r="E193" s="58" t="n"/>
      <c r="F193" s="58" t="n"/>
      <c r="G193" s="58" t="n"/>
      <c r="H193" s="58" t="n"/>
      <c r="I193" s="58" t="n"/>
      <c r="J193" s="58" t="n"/>
    </row>
    <row r="194">
      <c r="A194" s="58" t="n"/>
      <c r="B194" s="58" t="n"/>
      <c r="C194" s="58" t="n"/>
      <c r="D194" s="58" t="n"/>
      <c r="E194" s="58" t="n"/>
      <c r="F194" s="58" t="n"/>
      <c r="G194" s="58" t="n"/>
      <c r="H194" s="58" t="n"/>
      <c r="I194" s="58" t="n"/>
      <c r="J194" s="58" t="n"/>
    </row>
    <row r="195">
      <c r="A195" s="58" t="n"/>
      <c r="B195" s="58" t="n"/>
      <c r="C195" s="58" t="n"/>
      <c r="D195" s="58" t="n"/>
      <c r="E195" s="58" t="n"/>
      <c r="F195" s="58" t="n"/>
      <c r="G195" s="58" t="n"/>
      <c r="H195" s="58" t="n"/>
      <c r="I195" s="58" t="n"/>
      <c r="J195" s="58" t="n"/>
    </row>
    <row r="196">
      <c r="A196" s="58" t="n"/>
      <c r="B196" s="58" t="n"/>
      <c r="C196" s="58" t="n"/>
      <c r="D196" s="58" t="n"/>
      <c r="E196" s="58" t="n"/>
      <c r="F196" s="58" t="n"/>
      <c r="G196" s="58" t="n"/>
      <c r="H196" s="58" t="n"/>
      <c r="I196" s="58" t="n"/>
      <c r="J196" s="58" t="n"/>
    </row>
    <row r="197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58" t="n"/>
    </row>
    <row r="198">
      <c r="A198" s="58" t="n"/>
      <c r="B198" s="58" t="n"/>
      <c r="C198" s="58" t="n"/>
      <c r="D198" s="58" t="n"/>
      <c r="E198" s="58" t="n"/>
      <c r="F198" s="58" t="n"/>
      <c r="G198" s="58" t="n"/>
      <c r="H198" s="58" t="n"/>
      <c r="I198" s="58" t="n"/>
      <c r="J198" s="58" t="n"/>
    </row>
    <row r="199">
      <c r="A199" s="58" t="n"/>
      <c r="B199" s="58" t="n"/>
      <c r="C199" s="58" t="n"/>
      <c r="D199" s="58" t="n"/>
      <c r="E199" s="58" t="n"/>
      <c r="F199" s="58" t="n"/>
      <c r="G199" s="58" t="n"/>
      <c r="H199" s="58" t="n"/>
      <c r="I199" s="58" t="n"/>
      <c r="J199" s="58" t="n"/>
    </row>
    <row r="200">
      <c r="A200" s="58" t="n"/>
      <c r="B200" s="58" t="n"/>
      <c r="C200" s="58" t="n"/>
      <c r="D200" s="58" t="n"/>
      <c r="E200" s="58" t="n"/>
      <c r="F200" s="58" t="n"/>
      <c r="G200" s="58" t="n"/>
      <c r="H200" s="58" t="n"/>
      <c r="I200" s="58" t="n"/>
      <c r="J200" s="58" t="n"/>
    </row>
    <row r="201">
      <c r="A201" s="58" t="n"/>
      <c r="B201" s="58" t="n"/>
      <c r="C201" s="58" t="n"/>
      <c r="D201" s="58" t="n"/>
      <c r="E201" s="58" t="n"/>
      <c r="F201" s="58" t="n"/>
      <c r="G201" s="58" t="n"/>
      <c r="H201" s="58" t="n"/>
      <c r="I201" s="58" t="n"/>
      <c r="J201" s="58" t="n"/>
    </row>
    <row r="202">
      <c r="A202" s="58" t="n"/>
      <c r="B202" s="58" t="n"/>
      <c r="C202" s="58" t="n"/>
      <c r="D202" s="58" t="n"/>
      <c r="E202" s="58" t="n"/>
      <c r="F202" s="58" t="n"/>
      <c r="G202" s="58" t="n"/>
      <c r="H202" s="58" t="n"/>
      <c r="I202" s="58" t="n"/>
      <c r="J202" s="58" t="n"/>
    </row>
    <row r="203">
      <c r="A203" s="58" t="n"/>
      <c r="B203" s="58" t="n"/>
      <c r="C203" s="58" t="n"/>
      <c r="D203" s="58" t="n"/>
      <c r="E203" s="58" t="n"/>
      <c r="F203" s="58" t="n"/>
      <c r="G203" s="58" t="n"/>
      <c r="H203" s="58" t="n"/>
      <c r="I203" s="58" t="n"/>
      <c r="J203" s="58" t="n"/>
    </row>
    <row r="204">
      <c r="A204" s="58" t="n"/>
      <c r="B204" s="58" t="n"/>
      <c r="C204" s="58" t="n"/>
      <c r="D204" s="58" t="n"/>
      <c r="E204" s="58" t="n"/>
      <c r="F204" s="58" t="n"/>
      <c r="G204" s="58" t="n"/>
      <c r="H204" s="58" t="n"/>
      <c r="I204" s="58" t="n"/>
      <c r="J204" s="58" t="n"/>
    </row>
    <row r="205">
      <c r="A205" s="58" t="n"/>
      <c r="B205" s="58" t="n"/>
      <c r="C205" s="58" t="n"/>
      <c r="D205" s="58" t="n"/>
      <c r="E205" s="58" t="n"/>
      <c r="F205" s="58" t="n"/>
      <c r="G205" s="58" t="n"/>
      <c r="H205" s="58" t="n"/>
      <c r="I205" s="58" t="n"/>
      <c r="J205" s="58" t="n"/>
    </row>
  </sheetData>
  <mergeCells count="2">
    <mergeCell ref="A1:J1"/>
    <mergeCell ref="A2:J3"/>
  </mergeCells>
  <dataValidations count="1">
    <dataValidation sqref="A6:A206" showDropDown="0" showInputMessage="0" showErrorMessage="0" allowBlank="1" type="list">
      <formula1>"Alabama,Alaska,Arizona,Arkansas,California,Colorado,Connecticut,Delaware,District of Columbia,Florida,Georgia,Hawaii,Idaho,Illinois,Indiana,Iowa,Kansas,Kentucky,Louisiana,Maine,Maryland,Massachusetts,Michigan,Minnesota,Mississippi,Missouri,Montana,Nebraska,Nevada,New Hampshire,New Jersey,New Mexico,New York,North Carolina,North Dakota,Ohio,Oklahoma,Oregon,Pennsylvania,Rhode Island,South Carolina,South Dakota,Tennessee,Texas,Utah,Vermont,Virginia,Washington,West Virginia,Wisconsin,Wyoming"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4" customWidth="1" min="4" max="4"/>
    <col width="26" customWidth="1" min="5" max="5"/>
    <col width="14" customWidth="1" min="6" max="6"/>
    <col width="26" customWidth="1" min="7" max="7"/>
  </cols>
  <sheetData>
    <row r="1">
      <c r="A1" s="55" t="inlineStr">
        <is>
          <t>Hidden Tools &amp; Kill-Switch Checks (Field-Proven)</t>
        </is>
      </c>
    </row>
    <row r="3">
      <c r="A3" s="57" t="inlineStr">
        <is>
          <t>Bucket</t>
        </is>
      </c>
      <c r="B3" s="57" t="inlineStr">
        <is>
          <t>Tool / Source</t>
        </is>
      </c>
      <c r="C3" s="57" t="inlineStr">
        <is>
          <t>Use</t>
        </is>
      </c>
      <c r="D3" s="57" t="inlineStr">
        <is>
          <t>Direct URL</t>
        </is>
      </c>
      <c r="E3" s="57" t="inlineStr">
        <is>
          <t>What to capture</t>
        </is>
      </c>
      <c r="F3" s="57" t="inlineStr">
        <is>
          <t>Deal Kill-Switch?</t>
        </is>
      </c>
      <c r="G3" s="57" t="inlineStr">
        <is>
          <t>Notes</t>
        </is>
      </c>
    </row>
    <row r="4">
      <c r="A4" s="58" t="inlineStr">
        <is>
          <t>Flood</t>
        </is>
      </c>
      <c r="B4" s="58" t="inlineStr">
        <is>
          <t>FEMA MSC</t>
        </is>
      </c>
      <c r="C4" s="58" t="inlineStr">
        <is>
          <t>Official flood maps / panels / FIRMette</t>
        </is>
      </c>
      <c r="D4" s="58" t="inlineStr">
        <is>
          <t>https://msc.fema.gov/</t>
        </is>
      </c>
      <c r="E4" s="58" t="inlineStr">
        <is>
          <t>Panel + flood zone + BFE</t>
        </is>
      </c>
      <c r="F4" s="58" t="inlineStr">
        <is>
          <t>YES</t>
        </is>
      </c>
      <c r="G4" s="58" t="inlineStr">
        <is>
          <t>Use for insurance + build feasibility</t>
        </is>
      </c>
    </row>
    <row r="5">
      <c r="A5" s="58" t="inlineStr">
        <is>
          <t>Flood</t>
        </is>
      </c>
      <c r="B5" s="58" t="inlineStr">
        <is>
          <t>FEMA NFHL Viewer</t>
        </is>
      </c>
      <c r="C5" s="58" t="inlineStr">
        <is>
          <t>Interactive flood layer viewer</t>
        </is>
      </c>
      <c r="D5" s="58" t="inlineStr">
        <is>
          <t>https://www.arcgis.com/apps/webappviewer/index.html?id=8b0adb51996444d4879338b5529aa9cd</t>
        </is>
      </c>
      <c r="E5" s="58" t="inlineStr">
        <is>
          <t>Screenshot + layer notes</t>
        </is>
      </c>
      <c r="F5" s="58" t="inlineStr">
        <is>
          <t>YES</t>
        </is>
      </c>
      <c r="G5" s="58" t="inlineStr">
        <is>
          <t>Cross-check MSC</t>
        </is>
      </c>
    </row>
    <row r="6">
      <c r="A6" s="58" t="inlineStr">
        <is>
          <t>Soils/Septic</t>
        </is>
      </c>
      <c r="B6" s="58" t="inlineStr">
        <is>
          <t>USDA Web Soil Survey</t>
        </is>
      </c>
      <c r="C6" s="58" t="inlineStr">
        <is>
          <t>Soils, limitations, septic suitability inputs</t>
        </is>
      </c>
      <c r="D6" s="58" t="inlineStr">
        <is>
          <t>https://websoilsurvey.nrcs.usda.gov/</t>
        </is>
      </c>
      <c r="E6" s="58" t="inlineStr">
        <is>
          <t>Soil type + limitations</t>
        </is>
      </c>
      <c r="F6" s="58" t="inlineStr">
        <is>
          <t>MAYBE</t>
        </is>
      </c>
      <c r="G6" s="58" t="inlineStr">
        <is>
          <t>Strong indicator for septic cost/risk</t>
        </is>
      </c>
    </row>
    <row r="7">
      <c r="A7" s="58" t="inlineStr">
        <is>
          <t>Environmental</t>
        </is>
      </c>
      <c r="B7" s="58" t="inlineStr">
        <is>
          <t>EPA ECHO</t>
        </is>
      </c>
      <c r="C7" s="58" t="inlineStr">
        <is>
          <t>Nearby regulated facilities / compliance history</t>
        </is>
      </c>
      <c r="D7" s="58" t="inlineStr">
        <is>
          <t>https://echo.epa.gov/</t>
        </is>
      </c>
      <c r="E7" s="58" t="inlineStr">
        <is>
          <t>Nearby facilities + violations</t>
        </is>
      </c>
      <c r="F7" s="58" t="inlineStr">
        <is>
          <t>MAYBE</t>
        </is>
      </c>
      <c r="G7" s="58" t="inlineStr">
        <is>
          <t>Not every hit is fatal—investigate</t>
        </is>
      </c>
    </row>
    <row r="8">
      <c r="A8" s="58" t="inlineStr">
        <is>
          <t>Ownership/Title</t>
        </is>
      </c>
      <c r="B8" s="58" t="inlineStr">
        <is>
          <t>County Recorder</t>
        </is>
      </c>
      <c r="C8" s="58" t="inlineStr">
        <is>
          <t>Deeds, liens, easements, plats</t>
        </is>
      </c>
      <c r="D8" s="58" t="inlineStr">
        <is>
          <t>(County-specific)</t>
        </is>
      </c>
      <c r="E8" s="58" t="inlineStr">
        <is>
          <t>Deed chain + encumbrances</t>
        </is>
      </c>
      <c r="F8" s="58" t="inlineStr">
        <is>
          <t>YES</t>
        </is>
      </c>
      <c r="G8" s="58" t="inlineStr">
        <is>
          <t>No clean title = no deal</t>
        </is>
      </c>
    </row>
    <row r="9">
      <c r="A9" s="58" t="inlineStr">
        <is>
          <t>Zoning</t>
        </is>
      </c>
      <c r="B9" s="58" t="inlineStr">
        <is>
          <t>City/County Planning</t>
        </is>
      </c>
      <c r="C9" s="58" t="inlineStr">
        <is>
          <t>Zoning map + code + allowable uses</t>
        </is>
      </c>
      <c r="D9" s="58" t="inlineStr">
        <is>
          <t>(County/city-specific)</t>
        </is>
      </c>
      <c r="E9" s="58" t="inlineStr">
        <is>
          <t>Zoning + setbacks + overlays</t>
        </is>
      </c>
      <c r="F9" s="58" t="inlineStr">
        <is>
          <t>YES</t>
        </is>
      </c>
      <c r="G9" s="58" t="inlineStr">
        <is>
          <t>If it won’t entitle, it won’t close</t>
        </is>
      </c>
    </row>
    <row r="10">
      <c r="A10" s="58" t="inlineStr">
        <is>
          <t>Utilities</t>
        </is>
      </c>
      <c r="B10" s="58" t="inlineStr">
        <is>
          <t>Utility provider maps</t>
        </is>
      </c>
      <c r="C10" s="58" t="inlineStr">
        <is>
          <t>Water/sewer/gas availability</t>
        </is>
      </c>
      <c r="D10" s="58" t="inlineStr">
        <is>
          <t>(County/city-specific)</t>
        </is>
      </c>
      <c r="E10" s="58" t="inlineStr">
        <is>
          <t>Service letters / fees</t>
        </is>
      </c>
      <c r="F10" s="58" t="inlineStr">
        <is>
          <t>MAYBE</t>
        </is>
      </c>
      <c r="G10" s="58" t="inlineStr">
        <is>
          <t>No utilities can break numbers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Timeframe</t>
        </is>
      </c>
      <c r="C1" t="inlineStr">
        <is>
          <t>Week Range</t>
        </is>
      </c>
      <c r="D1" t="inlineStr">
        <is>
          <t>Key Activities</t>
        </is>
      </c>
      <c r="E1" t="inlineStr">
        <is>
          <t>Main Stakeholders</t>
        </is>
      </c>
      <c r="F1" t="inlineStr">
        <is>
          <t>Budget Considerations</t>
        </is>
      </c>
    </row>
    <row r="2">
      <c r="A2" t="inlineStr">
        <is>
          <t>Phase 1: Acquisition &amp; Financing</t>
        </is>
      </c>
      <c r="B2" t="inlineStr">
        <is>
          <t>2-4 weeks</t>
        </is>
      </c>
      <c r="C2" t="inlineStr">
        <is>
          <t>Weeks 1-4</t>
        </is>
      </c>
      <c r="D2" t="inlineStr">
        <is>
          <t>• Secure land purchase
• Run comps and underwriting
• Present deal package to lender
• Get pre-approval/loan commitment</t>
        </is>
      </c>
      <c r="E2" t="inlineStr">
        <is>
          <t>Lender, Real Estate Agent, Yourself</t>
        </is>
      </c>
      <c r="F2" t="inlineStr">
        <is>
          <t>Down payment (5-15% of project cost), closing costs</t>
        </is>
      </c>
    </row>
    <row r="3">
      <c r="A3" t="inlineStr">
        <is>
          <t>Phase 2: Permitting</t>
        </is>
      </c>
      <c r="B3" t="inlineStr">
        <is>
          <t>1-3 months</t>
        </is>
      </c>
      <c r="C3" t="inlineStr">
        <is>
          <t>Weeks 3-12</t>
        </is>
      </c>
      <c r="D3" t="inlineStr">
        <is>
          <t>• Submit plans to city/county
• Respond to plan reviews
• Address permit comments
• Receive building permits</t>
        </is>
      </c>
      <c r="E3" t="inlineStr">
        <is>
          <t>City/County Permit Office, Drafter, Yourself</t>
        </is>
      </c>
      <c r="F3" t="inlineStr">
        <is>
          <t>Permit fees, potential expedite costs</t>
        </is>
      </c>
    </row>
    <row r="4">
      <c r="A4" t="inlineStr">
        <is>
          <t>Phase 3: Design &amp; Planning</t>
        </is>
      </c>
      <c r="B4" t="inlineStr">
        <is>
          <t>2-4 months</t>
        </is>
      </c>
      <c r="C4" t="inlineStr">
        <is>
          <t>Weeks 2-10</t>
        </is>
      </c>
      <c r="D4" t="inlineStr">
        <is>
          <t>• Work with drafter/architect
• Finalize plans and specifications
• Get engineering stamps
• Prepare construction documents</t>
        </is>
      </c>
      <c r="E4" t="inlineStr">
        <is>
          <t>Drafter/Architect, Engineer, Yourself</t>
        </is>
      </c>
      <c r="F4" t="inlineStr">
        <is>
          <t>Drafting fees ($1-3/sq ft), engineering costs</t>
        </is>
      </c>
    </row>
    <row r="5">
      <c r="A5" t="inlineStr">
        <is>
          <t>Phase 4: Pre-Construction Setup</t>
        </is>
      </c>
      <c r="B5" t="inlineStr">
        <is>
          <t>2-4 weeks</t>
        </is>
      </c>
      <c r="C5" t="inlineStr">
        <is>
          <t>Weeks 8-14</t>
        </is>
      </c>
      <c r="D5" t="inlineStr">
        <is>
          <t>• Finalize builder contract
• Lock in builder fee (8-15% of construction cost)
• Order materials
• Schedule subcontractors
• Set up construction loan draw schedule</t>
        </is>
      </c>
      <c r="E5" t="inlineStr">
        <is>
          <t>Builder, Lender, Yourself</t>
        </is>
      </c>
      <c r="F5" t="inlineStr">
        <is>
          <t>Builder fee, material deposits</t>
        </is>
      </c>
    </row>
    <row r="6">
      <c r="A6" t="inlineStr">
        <is>
          <t>Phase 5: Construction</t>
        </is>
      </c>
      <c r="B6" t="inlineStr">
        <is>
          <t>4-6 months</t>
        </is>
      </c>
      <c r="C6" t="inlineStr">
        <is>
          <t>Months 3-8</t>
        </is>
      </c>
      <c r="D6" t="inlineStr">
        <is>
          <t>• Foundation (2-4 weeks)
• Framing (3-6 weeks)
• Rough-ins (2-4 weeks)
• Drywall (2-3 weeks)
• Finishes (4-8 weeks)
• Final walkthrough</t>
        </is>
      </c>
      <c r="E6" t="inlineStr">
        <is>
          <t>Builder, Subcontractors, Yourself (quality control)</t>
        </is>
      </c>
      <c r="F6" t="inlineStr">
        <is>
          <t>Construction loan draws, change orders, inspections</t>
        </is>
      </c>
    </row>
    <row r="7">
      <c r="A7" t="inlineStr">
        <is>
          <t>Phase 6: Final Inspections &amp; Punch List</t>
        </is>
      </c>
      <c r="B7" t="inlineStr">
        <is>
          <t>1-2 weeks</t>
        </is>
      </c>
      <c r="C7" t="inlineStr">
        <is>
          <t>Weeks 30-34</t>
        </is>
      </c>
      <c r="D7" t="inlineStr">
        <is>
          <t>• Final inspections
• Address punch list items
• Obtain Certificate of Occupancy</t>
        </is>
      </c>
      <c r="E7" t="inlineStr">
        <is>
          <t>City Inspector, Builder, Yourself</t>
        </is>
      </c>
      <c r="F7" t="inlineStr">
        <is>
          <t>Potential correction costs</t>
        </is>
      </c>
    </row>
    <row r="8">
      <c r="A8" t="inlineStr">
        <is>
          <t>Phase 7: Sales &amp; Close</t>
        </is>
      </c>
      <c r="B8" t="inlineStr">
        <is>
          <t>2-4 months</t>
        </is>
      </c>
      <c r="C8" t="inlineStr">
        <is>
          <t>Months 8-12</t>
        </is>
      </c>
      <c r="D8" t="inlineStr">
        <is>
          <t>• Market property (photos, listing)
• Showings and open houses
• Negotiate offers
• Complete inspections and appraisals
• Close escrow</t>
        </is>
      </c>
      <c r="E8" t="inlineStr">
        <is>
          <t>Real Estate Agent, Buyer, Title Company, Lender</t>
        </is>
      </c>
      <c r="F8" t="inlineStr">
        <is>
          <t>Marketing costs, agent commissions (5-6%), closing costs</t>
        </is>
      </c>
    </row>
    <row r="10">
      <c r="A10" t="inlineStr">
        <is>
          <t>Key Financial Milestones:</t>
        </is>
      </c>
    </row>
    <row r="11">
      <c r="A11" t="inlineStr">
        <is>
          <t>• Upfront Costs: Down payment + permitting + design (Months 1-2)</t>
        </is>
      </c>
    </row>
    <row r="12">
      <c r="A12" t="inlineStr">
        <is>
          <t>• Construction Draws: Monthly payments during build (Months 3-8)</t>
        </is>
      </c>
    </row>
    <row r="13">
      <c r="A13" t="inlineStr">
        <is>
          <t>• Profit Realization: At sale closing (Months 9-12)</t>
        </is>
      </c>
    </row>
    <row r="15">
      <c r="A15" t="inlineStr">
        <is>
          <t>Critical Success Factors:</t>
        </is>
      </c>
    </row>
    <row r="16">
      <c r="A16" t="inlineStr">
        <is>
          <t>1. Relationship Management: Maintain strong communication with all stakeholders</t>
        </is>
      </c>
    </row>
    <row r="17">
      <c r="A17" t="inlineStr">
        <is>
          <t>2. Quality Control: Regular site visits and inspections</t>
        </is>
      </c>
    </row>
    <row r="18">
      <c r="A18" t="inlineStr">
        <is>
          <t>3. Timeline Management: Push all parties to meet deadlines</t>
        </is>
      </c>
    </row>
    <row r="19">
      <c r="A19" t="inlineStr">
        <is>
          <t>4. Budget Control: Monitor costs and prevent scope creep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INTEGRATION HUB: Land &amp; Build Flipping System + Master Investment Toolkit</t>
        </is>
      </c>
    </row>
    <row r="3">
      <c r="A3" s="60" t="inlineStr">
        <is>
          <t>Cross-System Integration Points</t>
        </is>
      </c>
    </row>
    <row r="5">
      <c r="A5" s="61" t="inlineStr">
        <is>
          <t>Existing System Sheet</t>
        </is>
      </c>
      <c r="B5" s="61" t="inlineStr">
        <is>
          <t>New Toolkit Sheet</t>
        </is>
      </c>
      <c r="C5" s="61" t="inlineStr">
        <is>
          <t>Integration Purpose</t>
        </is>
      </c>
      <c r="D5" s="61" t="inlineStr">
        <is>
          <t>Data Flow</t>
        </is>
      </c>
    </row>
    <row r="6">
      <c r="A6" t="inlineStr">
        <is>
          <t>CRM</t>
        </is>
      </c>
      <c r="B6" t="inlineStr">
        <is>
          <t>04_Contact_Database</t>
        </is>
      </c>
      <c r="C6" t="inlineStr">
        <is>
          <t>Enhanced crm capabilities</t>
        </is>
      </c>
      <c r="D6" t="inlineStr">
        <is>
          <t>Bidirectional sync</t>
        </is>
      </c>
    </row>
    <row r="7">
      <c r="A7" t="inlineStr">
        <is>
          <t>Market Analysis</t>
        </is>
      </c>
      <c r="B7" t="inlineStr">
        <is>
          <t>08_Market_Intelligence</t>
        </is>
      </c>
      <c r="C7" t="inlineStr">
        <is>
          <t>Enhanced market analysis capabilities</t>
        </is>
      </c>
      <c r="D7" t="inlineStr">
        <is>
          <t>Bidirectional sync</t>
        </is>
      </c>
    </row>
    <row r="8">
      <c r="A8" t="inlineStr">
        <is>
          <t>Deal Pipeline</t>
        </is>
      </c>
      <c r="B8" t="inlineStr">
        <is>
          <t>09_Deal_Analysis</t>
        </is>
      </c>
      <c r="C8" t="inlineStr">
        <is>
          <t>Enhanced deal pipeline capabilities</t>
        </is>
      </c>
      <c r="D8" t="inlineStr">
        <is>
          <t>Bidirectional sync</t>
        </is>
      </c>
    </row>
    <row r="9">
      <c r="A9" t="inlineStr">
        <is>
          <t>Financials</t>
        </is>
      </c>
      <c r="B9" t="inlineStr">
        <is>
          <t>05_Investment_Formulas</t>
        </is>
      </c>
      <c r="C9" t="inlineStr">
        <is>
          <t>Enhanced financials capabilities</t>
        </is>
      </c>
      <c r="D9" t="inlineStr">
        <is>
          <t>Bidirectional sync</t>
        </is>
      </c>
    </row>
    <row r="10">
      <c r="A10" t="inlineStr">
        <is>
          <t>Portfolio</t>
        </is>
      </c>
      <c r="B10" t="inlineStr">
        <is>
          <t>10_Portfolio_Tracker</t>
        </is>
      </c>
      <c r="C10" t="inlineStr">
        <is>
          <t>Enhanced portfolio capabilities</t>
        </is>
      </c>
      <c r="D10" t="inlineStr">
        <is>
          <t>Bidirectional sync</t>
        </is>
      </c>
    </row>
    <row r="13">
      <c r="A13" s="62" t="inlineStr">
        <is>
          <t>INTEGRATION SUMMARY</t>
        </is>
      </c>
    </row>
    <row r="14">
      <c r="A14" t="inlineStr">
        <is>
          <t>Total Existing Sheets:</t>
        </is>
      </c>
      <c r="B14" t="n">
        <v>16</v>
      </c>
    </row>
    <row r="15">
      <c r="A15" t="inlineStr">
        <is>
          <t>Total Toolkit Sheets:</t>
        </is>
      </c>
      <c r="B15" t="n">
        <v>11</v>
      </c>
    </row>
    <row r="16">
      <c r="A16" t="inlineStr">
        <is>
          <t>Integration Points:</t>
        </is>
      </c>
      <c r="B16" t="n">
        <v>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2026-01-06T03:18:29Z</dcterms:created>
  <dcterms:modified xmlns:dcterms="http://purl.org/dc/terms/" xmlns:xsi="http://www.w3.org/2001/XMLSchema-instance" xsi:type="dcterms:W3CDTF">2026-01-10T21:09:58Z</dcterms:modified>
</cp:coreProperties>
</file>