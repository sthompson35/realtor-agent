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shboard" sheetId="1" state="visible" r:id="rId1"/>
    <sheet xmlns:r="http://schemas.openxmlformats.org/officeDocument/2006/relationships" name="01_15_State_Framework" sheetId="2" state="visible" r:id="rId2"/>
    <sheet xmlns:r="http://schemas.openxmlformats.org/officeDocument/2006/relationships" name="02_County_Examples" sheetId="3" state="visible" r:id="rId3"/>
    <sheet xmlns:r="http://schemas.openxmlformats.org/officeDocument/2006/relationships" name="03_Resource_Finder" sheetId="4" state="visible" r:id="rId4"/>
    <sheet xmlns:r="http://schemas.openxmlformats.org/officeDocument/2006/relationships" name="04_Contact_Database" sheetId="5" state="visible" r:id="rId5"/>
    <sheet xmlns:r="http://schemas.openxmlformats.org/officeDocument/2006/relationships" name="05_Investment_Formulas" sheetId="6" state="visible" r:id="rId6"/>
    <sheet xmlns:r="http://schemas.openxmlformats.org/officeDocument/2006/relationships" name="06_Implementation" sheetId="7" state="visible" r:id="rId7"/>
    <sheet xmlns:r="http://schemas.openxmlformats.org/officeDocument/2006/relationships" name="07_Pro_Tips_Secrets" sheetId="8" state="visible" r:id="rId8"/>
    <sheet xmlns:r="http://schemas.openxmlformats.org/officeDocument/2006/relationships" name="08_Market_Intelligence" sheetId="9" state="visible" r:id="rId9"/>
    <sheet xmlns:r="http://schemas.openxmlformats.org/officeDocument/2006/relationships" name="09_Deal_Analysis" sheetId="10" state="visible" r:id="rId10"/>
    <sheet xmlns:r="http://schemas.openxmlformats.org/officeDocument/2006/relationships" name="10_Portfolio_Track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FA"/>
        <bgColor rgb="00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 Estate Investment Master Toolkit - 00 Dashboard</t>
        </is>
      </c>
    </row>
    <row r="3">
      <c r="A3" s="2" t="inlineStr">
        <is>
          <t>INTEGRATED WITH: Land_and_Build_Flipping_System_v2.xlsx</t>
        </is>
      </c>
    </row>
    <row r="5">
      <c r="A5" s="3" t="inlineStr">
        <is>
          <t>Key Performance Indicators</t>
        </is>
      </c>
    </row>
    <row r="7">
      <c r="A7" t="inlineStr">
        <is>
          <t>Total Deals Analyzed:</t>
        </is>
      </c>
      <c r="B7">
        <f>COUNTIF('09_Deal_Analysis'!A:A, "&lt;&gt;")-1</f>
        <v/>
      </c>
    </row>
    <row r="8">
      <c r="A8" t="inlineStr">
        <is>
          <t>Active Markets:</t>
        </is>
      </c>
      <c r="B8">
        <f>COUNTA('01_15_State_Framework'!A:A)-1</f>
        <v/>
      </c>
    </row>
    <row r="9">
      <c r="A9" t="inlineStr">
        <is>
          <t>Contact Database Size:</t>
        </is>
      </c>
      <c r="B9">
        <f>COUNTA('04_Contact_Database'!A:A)-1</f>
        <v/>
      </c>
    </row>
    <row r="10">
      <c r="A10" t="inlineStr">
        <is>
          <t>Portfolio Value:</t>
        </is>
      </c>
      <c r="B10">
        <f>SUM('10_Portfolio_Tracker'!D:D)</f>
        <v/>
      </c>
    </row>
  </sheetData>
  <mergeCells count="2">
    <mergeCell ref="A1:Z1"/>
    <mergeCell ref="A3:Z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 Estate Investment Master Toolkit - 01 15 State Framework</t>
        </is>
      </c>
    </row>
    <row r="3">
      <c r="A3" s="2" t="inlineStr">
        <is>
          <t>INTEGRATED WITH: Land_and_Build_Flipping_System_v2.xlsx</t>
        </is>
      </c>
    </row>
    <row r="5">
      <c r="A5" t="inlineStr">
        <is>
          <t>State</t>
        </is>
      </c>
      <c r="B5" t="inlineStr">
        <is>
          <t>Market Status</t>
        </is>
      </c>
      <c r="C5" t="inlineStr">
        <is>
          <t>Key Counties</t>
        </is>
      </c>
      <c r="D5" t="inlineStr">
        <is>
          <t>Investment Focus</t>
        </is>
      </c>
      <c r="E5" t="inlineStr">
        <is>
          <t>Resources Available</t>
        </is>
      </c>
    </row>
    <row r="6">
      <c r="A6" t="inlineStr">
        <is>
          <t>Texas</t>
        </is>
      </c>
      <c r="B6" t="inlineStr">
        <is>
          <t>Hot</t>
        </is>
      </c>
      <c r="C6" t="inlineStr">
        <is>
          <t>Harris, Dallas, Tarrant</t>
        </is>
      </c>
      <c r="D6" t="inlineStr">
        <is>
          <t>Multi-family, Land</t>
        </is>
      </c>
      <c r="E6" t="inlineStr">
        <is>
          <t>Yes</t>
        </is>
      </c>
    </row>
    <row r="7">
      <c r="A7" t="inlineStr">
        <is>
          <t>Florida</t>
        </is>
      </c>
      <c r="B7" t="inlineStr">
        <is>
          <t>Hot</t>
        </is>
      </c>
      <c r="C7" t="inlineStr">
        <is>
          <t>Miami-Dade, Broward</t>
        </is>
      </c>
      <c r="D7" t="inlineStr">
        <is>
          <t>Condo, Single-family</t>
        </is>
      </c>
      <c r="E7" t="inlineStr">
        <is>
          <t>Yes</t>
        </is>
      </c>
    </row>
    <row r="8">
      <c r="A8" t="inlineStr">
        <is>
          <t>Arizona</t>
        </is>
      </c>
      <c r="B8" t="inlineStr">
        <is>
          <t>Growing</t>
        </is>
      </c>
      <c r="C8" t="inlineStr">
        <is>
          <t>Maricopa, Pima</t>
        </is>
      </c>
      <c r="D8" t="inlineStr">
        <is>
          <t>Single-family, Land</t>
        </is>
      </c>
      <c r="E8" t="inlineStr">
        <is>
          <t>Yes</t>
        </is>
      </c>
    </row>
    <row r="9">
      <c r="A9" t="inlineStr">
        <is>
          <t>North Carolina</t>
        </is>
      </c>
      <c r="B9" t="inlineStr">
        <is>
          <t>Emerging</t>
        </is>
      </c>
      <c r="C9" t="inlineStr">
        <is>
          <t>Mecklenburg, Wake</t>
        </is>
      </c>
      <c r="D9" t="inlineStr">
        <is>
          <t>Single-family</t>
        </is>
      </c>
      <c r="E9" t="inlineStr">
        <is>
          <t>Yes</t>
        </is>
      </c>
    </row>
    <row r="10">
      <c r="A10" t="inlineStr">
        <is>
          <t>Georgia</t>
        </is>
      </c>
      <c r="B10" t="inlineStr">
        <is>
          <t>Hot</t>
        </is>
      </c>
      <c r="C10" t="inlineStr">
        <is>
          <t>Fulton, Gwinnett</t>
        </is>
      </c>
      <c r="D10" t="inlineStr">
        <is>
          <t>Multi-family</t>
        </is>
      </c>
      <c r="E10" t="inlineStr">
        <is>
          <t>Yes</t>
        </is>
      </c>
    </row>
  </sheetData>
  <mergeCells count="2">
    <mergeCell ref="A1:Z1"/>
    <mergeCell ref="A3:Z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 Estate Investment Master Toolkit - 02 County Examples</t>
        </is>
      </c>
    </row>
    <row r="3">
      <c r="A3" s="2" t="inlineStr">
        <is>
          <t>INTEGRATED WITH: Land_and_Build_Flipping_System_v2.xlsx</t>
        </is>
      </c>
    </row>
  </sheetData>
  <mergeCells count="2">
    <mergeCell ref="A1:Z1"/>
    <mergeCell ref="A3:Z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 Estate Investment Master Toolkit - 03 Resource Finder</t>
        </is>
      </c>
    </row>
    <row r="3">
      <c r="A3" s="2" t="inlineStr">
        <is>
          <t>INTEGRATED WITH: Land_and_Build_Flipping_System_v2.xlsx</t>
        </is>
      </c>
    </row>
  </sheetData>
  <mergeCells count="2">
    <mergeCell ref="A1:Z1"/>
    <mergeCell ref="A3:Z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 Estate Investment Master Toolkit - 04 Contact Database</t>
        </is>
      </c>
    </row>
    <row r="3">
      <c r="A3" s="2" t="inlineStr">
        <is>
          <t>INTEGRATED WITH: Land_and_Build_Flipping_System_v2.xlsx</t>
        </is>
      </c>
    </row>
  </sheetData>
  <mergeCells count="2">
    <mergeCell ref="A1:Z1"/>
    <mergeCell ref="A3:Z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 Estate Investment Master Toolkit - 05 Investment Formulas</t>
        </is>
      </c>
    </row>
    <row r="3">
      <c r="A3" s="2" t="inlineStr">
        <is>
          <t>INTEGRATED WITH: Land_and_Build_Flipping_System_v2.xlsx</t>
        </is>
      </c>
    </row>
    <row r="5">
      <c r="A5" t="inlineStr">
        <is>
          <t>Formula Name</t>
        </is>
      </c>
      <c r="B5" t="inlineStr">
        <is>
          <t>Formula</t>
        </is>
      </c>
      <c r="C5" t="inlineStr">
        <is>
          <t>Description</t>
        </is>
      </c>
      <c r="D5" t="inlineStr">
        <is>
          <t>Example</t>
        </is>
      </c>
    </row>
    <row r="6">
      <c r="A6" t="inlineStr">
        <is>
          <t>Cap Rate</t>
        </is>
      </c>
      <c r="B6">
        <f>(Annual NOI / Property Value) * 100</f>
        <v/>
      </c>
      <c r="C6" t="inlineStr">
        <is>
          <t>Capitalization Rate</t>
        </is>
      </c>
      <c r="D6">
        <f>($50,000 / $500,000) * 100 = 10%</f>
        <v/>
      </c>
    </row>
    <row r="7">
      <c r="A7" t="inlineStr">
        <is>
          <t>Cash-on-Cash Return</t>
        </is>
      </c>
      <c r="B7">
        <f>(Annual Cash Flow / Initial Investment) * 100</f>
        <v/>
      </c>
      <c r="C7" t="inlineStr">
        <is>
          <t>Cash flow return on investment</t>
        </is>
      </c>
      <c r="D7">
        <f>($25,000 / $100,000) * 100 = 25%</f>
        <v/>
      </c>
    </row>
    <row r="8">
      <c r="A8" t="inlineStr">
        <is>
          <t>IRR</t>
        </is>
      </c>
      <c r="B8">
        <f>IRR(Cash Flow Array)</f>
        <v/>
      </c>
      <c r="C8" t="inlineStr">
        <is>
          <t>Internal Rate of Return</t>
        </is>
      </c>
      <c r="D8" t="inlineStr">
        <is>
          <t>Complex calculation requiring cash flows</t>
        </is>
      </c>
    </row>
    <row r="9">
      <c r="A9" t="inlineStr">
        <is>
          <t>DSCR</t>
        </is>
      </c>
      <c r="B9">
        <f>Annual NOI / Annual Debt Service</f>
        <v/>
      </c>
      <c r="C9" t="inlineStr">
        <is>
          <t>Debt Service Coverage Ratio</t>
        </is>
      </c>
      <c r="D9">
        <f>($60,000 / $45,000) = 1.33</f>
        <v/>
      </c>
    </row>
    <row r="10">
      <c r="A10" t="inlineStr">
        <is>
          <t>NOI</t>
        </is>
      </c>
      <c r="B10">
        <f>Gross Income - Operating Expenses</f>
        <v/>
      </c>
      <c r="C10" t="inlineStr">
        <is>
          <t>Net Operating Income</t>
        </is>
      </c>
      <c r="D10">
        <f>($100,000 - $40,000) = $60,000</f>
        <v/>
      </c>
    </row>
  </sheetData>
  <mergeCells count="2">
    <mergeCell ref="A1:Z1"/>
    <mergeCell ref="A3:Z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 Estate Investment Master Toolkit - 06 Implementation</t>
        </is>
      </c>
    </row>
    <row r="3">
      <c r="A3" s="2" t="inlineStr">
        <is>
          <t>INTEGRATED WITH: Land_and_Build_Flipping_System_v2.xlsx</t>
        </is>
      </c>
    </row>
  </sheetData>
  <mergeCells count="2">
    <mergeCell ref="A1:Z1"/>
    <mergeCell ref="A3:Z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 Estate Investment Master Toolkit - 07 Pro Tips Secrets</t>
        </is>
      </c>
    </row>
    <row r="3">
      <c r="A3" s="2" t="inlineStr">
        <is>
          <t>INTEGRATED WITH: Land_and_Build_Flipping_System_v2.xlsx</t>
        </is>
      </c>
    </row>
    <row r="5">
      <c r="A5" t="inlineStr">
        <is>
          <t>Category</t>
        </is>
      </c>
      <c r="B5" t="inlineStr">
        <is>
          <t>Tip/Secret</t>
        </is>
      </c>
      <c r="C5" t="inlineStr">
        <is>
          <t>Impact Level</t>
        </is>
      </c>
    </row>
    <row r="6">
      <c r="A6" t="inlineStr">
        <is>
          <t>Market Analysis</t>
        </is>
      </c>
      <c r="B6" t="inlineStr">
        <is>
          <t>Always verify comps within 1-mile radius</t>
        </is>
      </c>
      <c r="C6" t="inlineStr">
        <is>
          <t>High</t>
        </is>
      </c>
    </row>
    <row r="7">
      <c r="A7" t="inlineStr">
        <is>
          <t>Due Diligence</t>
        </is>
      </c>
      <c r="B7" t="inlineStr">
        <is>
          <t>Never skip environmental assessment</t>
        </is>
      </c>
      <c r="C7" t="inlineStr">
        <is>
          <t>Critical</t>
        </is>
      </c>
    </row>
    <row r="8">
      <c r="A8" t="inlineStr">
        <is>
          <t>Negotiation</t>
        </is>
      </c>
      <c r="B8" t="inlineStr">
        <is>
          <t>Always have 3 exit strategies</t>
        </is>
      </c>
      <c r="C8" t="inlineStr">
        <is>
          <t>High</t>
        </is>
      </c>
    </row>
    <row r="9">
      <c r="A9" t="inlineStr">
        <is>
          <t>Financing</t>
        </is>
      </c>
      <c r="B9" t="inlineStr">
        <is>
          <t>Shop rates 30 days before closing</t>
        </is>
      </c>
      <c r="C9" t="inlineStr">
        <is>
          <t>Medium</t>
        </is>
      </c>
    </row>
    <row r="10">
      <c r="A10" t="inlineStr">
        <is>
          <t>Property Management</t>
        </is>
      </c>
      <c r="B10" t="inlineStr">
        <is>
          <t>Budget 1% of property value for maintenance</t>
        </is>
      </c>
      <c r="C10" t="inlineStr">
        <is>
          <t>High</t>
        </is>
      </c>
    </row>
  </sheetData>
  <mergeCells count="2">
    <mergeCell ref="A1:Z1"/>
    <mergeCell ref="A3:Z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 Estate Investment Master Toolkit - 08 Market Intelligence</t>
        </is>
      </c>
    </row>
    <row r="3">
      <c r="A3" s="2" t="inlineStr">
        <is>
          <t>INTEGRATED WITH: Land_and_Build_Flipping_System_v2.xlsx</t>
        </is>
      </c>
    </row>
  </sheetData>
  <mergeCells count="2">
    <mergeCell ref="A1:Z1"/>
    <mergeCell ref="A3:Z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 Estate Investment Master Toolkit - 09 Deal Analysis</t>
        </is>
      </c>
    </row>
    <row r="3">
      <c r="A3" s="2" t="inlineStr">
        <is>
          <t>INTEGRATED WITH: Land_and_Build_Flipping_System_v2.xlsx</t>
        </is>
      </c>
    </row>
  </sheetData>
  <mergeCells count="2">
    <mergeCell ref="A1:Z1"/>
    <mergeCell ref="A3:Z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 Estate Investment Master Toolkit - 10 Portfolio Tracker</t>
        </is>
      </c>
    </row>
    <row r="3">
      <c r="A3" s="2" t="inlineStr">
        <is>
          <t>INTEGRATED WITH: Land_and_Build_Flipping_System_v2.xlsx</t>
        </is>
      </c>
    </row>
  </sheetData>
  <mergeCells count="2">
    <mergeCell ref="A1:Z1"/>
    <mergeCell ref="A3:Z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2026-01-10T21:09:09Z</dcterms:created>
  <dcterms:modified xmlns:dcterms="http://purl.org/dc/terms/" xmlns:xsi="http://www.w3.org/2001/XMLSchema-instance" xsi:type="dcterms:W3CDTF">2026-01-10T21:09:09Z</dcterms:modified>
</cp:coreProperties>
</file>